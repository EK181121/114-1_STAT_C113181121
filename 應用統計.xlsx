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37c620be42854/文件/"/>
    </mc:Choice>
  </mc:AlternateContent>
  <xr:revisionPtr revIDLastSave="391" documentId="8_{96551B6E-AC5D-4B03-BAC0-F2640E5A84E5}" xr6:coauthVersionLast="47" xr6:coauthVersionMax="47" xr10:uidLastSave="{07EE3379-D3F3-41C8-9D1F-4C34F28FDD7D}"/>
  <bookViews>
    <workbookView xWindow="-108" yWindow="-108" windowWidth="23256" windowHeight="13896" xr2:uid="{C10D1711-4B59-49C4-854D-F48D6570786A}"/>
  </bookViews>
  <sheets>
    <sheet name="迴歸" sheetId="2" r:id="rId1"/>
    <sheet name="敘述" sheetId="3" r:id="rId2"/>
    <sheet name="相關性分析" sheetId="4" r:id="rId3"/>
    <sheet name="台灣貿易出口" sheetId="1" r:id="rId4"/>
    <sheet name="貿易說明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<sst xmlns="http://schemas.openxmlformats.org/spreadsheetml/2006/main" count="147" uniqueCount="122">
  <si>
    <t>　　　　</t>
  </si>
  <si>
    <t>按美元計算(百萬美元)</t>
  </si>
  <si>
    <t>  　　　　</t>
  </si>
  <si>
    <t>總計</t>
  </si>
  <si>
    <t>(1)電子零組件</t>
  </si>
  <si>
    <t>(4)資通與視聽產品</t>
  </si>
  <si>
    <t>109年 第1季</t>
  </si>
  <si>
    <t>109年 第2季</t>
  </si>
  <si>
    <t>109年 第3季</t>
  </si>
  <si>
    <t>109年 第4季</t>
  </si>
  <si>
    <t>110年 第1季</t>
  </si>
  <si>
    <t>110年 第2季</t>
  </si>
  <si>
    <t>110年 第3季</t>
  </si>
  <si>
    <t>110年 第4季</t>
  </si>
  <si>
    <t>111年 第1季</t>
  </si>
  <si>
    <t>111年 第2季</t>
  </si>
  <si>
    <t>111年 第3季</t>
  </si>
  <si>
    <t>111年 第4季</t>
  </si>
  <si>
    <t>112年 第1季</t>
  </si>
  <si>
    <t>112年 第2季</t>
  </si>
  <si>
    <t>112年 第3季</t>
  </si>
  <si>
    <t>112年 第4季</t>
  </si>
  <si>
    <t>113年 第1季</t>
  </si>
  <si>
    <t>113年 第2季</t>
  </si>
  <si>
    <t>113年 第3季</t>
  </si>
  <si>
    <t>113年 第4季</t>
  </si>
  <si>
    <t>114年 第1季</t>
  </si>
  <si>
    <t>114年 第2季</t>
  </si>
  <si>
    <t>114年 第3季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</si>
  <si>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</si>
  <si>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</si>
  <si>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</si>
  <si>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</si>
  <si>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</si>
  <si>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</si>
  <si>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</si>
  <si>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</si>
  <si>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</si>
  <si>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</si>
  <si>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</si>
  <si>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</si>
  <si>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</si>
  <si>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</si>
  <si>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</si>
  <si>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</si>
  <si>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</si>
  <si>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</si>
  <si>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</si>
  <si>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</si>
  <si>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</si>
  <si>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</si>
  <si>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</si>
  <si>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</si>
  <si>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殘差輸出</t>
  </si>
  <si>
    <t>觀察值</t>
  </si>
  <si>
    <t>預測為 總計</t>
  </si>
  <si>
    <t>機率輸出</t>
  </si>
  <si>
    <t>百分比</t>
  </si>
  <si>
    <t>平均數</t>
  </si>
  <si>
    <t>標準差</t>
  </si>
  <si>
    <t>變異數</t>
  </si>
  <si>
    <t>出口總額 (億美元)</t>
  </si>
  <si>
    <t>年增率</t>
  </si>
  <si>
    <t>前兩大出口市場 (占比)</t>
  </si>
  <si>
    <t>出口核心動能</t>
  </si>
  <si>
    <t>貿易地位與重大意義</t>
  </si>
  <si>
    <t>109 年</t>
  </si>
  <si>
    <t>中港(43.9%)、美國(14.6%)</t>
  </si>
  <si>
    <t>電子零組件 (疫情遠距商機)</t>
  </si>
  <si>
    <t>110 年</t>
  </si>
  <si>
    <t>中港(42.3%)、美國(14.7%)</t>
  </si>
  <si>
    <t>全貨品、全市場全面爆發</t>
  </si>
  <si>
    <t>首度跨入 4,000 億美元門檻，史上最強增幅</t>
  </si>
  <si>
    <t>111 年</t>
  </si>
  <si>
    <t>中港(38.8%)、美國(15.7%)</t>
  </si>
  <si>
    <t>半導體 (先進製程領先)</t>
  </si>
  <si>
    <t>112 年</t>
  </si>
  <si>
    <t>中港(35.2%)、美國(17.6%)</t>
  </si>
  <si>
    <t>庫存調整期，順差 805 億美元創歷史新高</t>
  </si>
  <si>
    <t>113 年</t>
  </si>
  <si>
    <t>歷史次高，對美出口首度破千億美元</t>
  </si>
  <si>
    <t>114 年上半年</t>
  </si>
  <si>
    <t>穩步增長</t>
  </si>
  <si>
    <t>持續擴張</t>
  </si>
  <si>
    <t>中港(約30%)、美國(&gt;20%)</t>
  </si>
  <si>
    <t>AI 基礎建設、先進製程晶片</t>
  </si>
  <si>
    <t>市場分散化確立，AI 帶動新一波成長循環</t>
  </si>
  <si>
    <t>出口額歷史最高紀錄，對中依賴開始下滑</t>
  </si>
  <si>
    <t>資通與視聽產品 (AI 萌芽)</t>
  </si>
  <si>
    <t>中港(31.7%)、美國(23.4%)</t>
  </si>
  <si>
    <t>AI 伺服器 (年增 59%)</t>
  </si>
  <si>
    <t>中位數</t>
    <phoneticPr fontId="2" type="noConversion"/>
  </si>
  <si>
    <t>年度</t>
    <phoneticPr fontId="2" type="noConversion"/>
  </si>
  <si>
    <t>疫情下逆勢成長，創當時歷史新高</t>
    <phoneticPr fontId="2" type="noConversion"/>
  </si>
  <si>
    <t>結論與解讀</t>
  </si>
  <si>
    <t>(&lt; 0.05)</t>
  </si>
  <si>
    <t>基礎盤支撐</t>
  </si>
  <si>
    <t>代表若電子零組件與資通產品出口歸零（理論假設），台灣其他傳統產業每季約能貢獻 160.8 億美元的出口額。</t>
  </si>
  <si>
    <t>(1) 電子零組件</t>
  </si>
  <si>
    <t>(極顯著)</t>
  </si>
  <si>
    <t>最大影響力（火車頭效應）</t>
  </si>
  <si>
    <t>係數接近 2，顯示其具有強大的乘數效應。電子零組件每增加 1 單位出口，會帶動整體出口增加 1.88 單位，是影響大盤最關鍵的變數。</t>
  </si>
  <si>
    <t>(4) 資通與視聽產品</t>
  </si>
  <si>
    <t>新興顯著動能</t>
  </si>
  <si>
    <t>呈現高度正相關，統計上極為顯著。雖然邊際貢獻度（係數）目前低於電子零組件，但作為近期爆發的 AI 核心產品，是推動出口創高的關鍵增量。</t>
  </si>
  <si>
    <r>
      <t>P</t>
    </r>
    <r>
      <rPr>
        <b/>
        <sz val="12"/>
        <color rgb="FF1F1F1F"/>
        <rFont val="微軟正黑體"/>
        <family val="2"/>
        <charset val="136"/>
      </rPr>
      <t>值</t>
    </r>
    <phoneticPr fontId="2" type="noConversion"/>
  </si>
  <si>
    <t>係數</t>
    <phoneticPr fontId="2" type="noConversion"/>
  </si>
  <si>
    <t>變數名稱</t>
    <phoneticPr fontId="2" type="noConversion"/>
  </si>
  <si>
    <t>截距</t>
    <phoneticPr fontId="2" type="noConversion"/>
  </si>
  <si>
    <t>變數關係</t>
  </si>
  <si>
    <t>相關係數 (r)</t>
  </si>
  <si>
    <t>強度判定</t>
  </si>
  <si>
    <t>解讀</t>
  </si>
  <si>
    <t>總計 vs. 電子零組件</t>
  </si>
  <si>
    <t>極高度正相關</t>
  </si>
  <si>
    <t>電子零組件是決定總出口走勢的最關鍵因素，兩者幾乎是「亦步亦趨」。</t>
  </si>
  <si>
    <t>總計 vs. 資通與視聽產品</t>
  </si>
  <si>
    <t>高度正相關</t>
  </si>
  <si>
    <t>資通產品對總出口也有很強的帶動性，但相關程度略低於電子零組件。</t>
  </si>
  <si>
    <t>電子零組件 vs. 資通產品</t>
  </si>
  <si>
    <t>中度正相關</t>
  </si>
  <si>
    <t>這是最有趣的訊號。兩大產業雖然大方向一致（都成長），但相關性明顯低於它們與總計的關係，顯示兩者有著「不同步」的成長節奏。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</si>
</sst>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b/>
      <sz val="8"/>
      <color rgb="FF000066"/>
      <name val="Times New Roman"/>
      <family val="1"/>
    </font>
    <font>
      <sz val="9"/>
      <name val="新細明體"/>
      <family val="2"/>
      <charset val="136"/>
      <scheme val="minor"/>
    </font>
    <font>
      <sz val="8"/>
      <color rgb="FF000066"/>
      <name val="Times New Roman"/>
      <family val="1"/>
    </font>
    <font>
      <sz val="8"/>
      <color rgb="FF0000CC"/>
      <name val="Times New Roman"/>
      <family val="1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b/>
      <sz val="12"/>
      <color rgb="FF1F1F1F"/>
      <name val="微軟正黑體"/>
      <family val="2"/>
      <charset val="136"/>
    </font>
    <font>
      <sz val="12"/>
      <color rgb="FF1F1F1F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DDDDFF"/>
        <bgColor indexed="64"/>
      </patternFill>
    </fill>
    <fill>
      <patternFill patternType="solid">
        <fgColor rgb="FFDFFFFF"/>
        <bgColor indexed="64"/>
      </patternFill>
    </fill>
    <fill>
      <patternFill patternType="solid">
        <fgColor rgb="FFFFFFEC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left" vertical="center"/>
    </xf>
    <xf numFmtId="4" fontId="4" fillId="4" borderId="5" xfId="0" applyNumberFormat="1" applyFont="1" applyFill="1" applyBorder="1" applyAlignment="1">
      <alignment horizontal="right" vertical="center"/>
    </xf>
    <xf numFmtId="4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Continuous" vertical="center"/>
    </xf>
    <xf numFmtId="0" fontId="7" fillId="0" borderId="9" xfId="0" applyFont="1" applyBorder="1" applyAlignment="1">
      <alignment horizontal="center" vertical="center" wrapText="1"/>
    </xf>
    <xf numFmtId="4" fontId="7" fillId="0" borderId="9" xfId="0" applyNumberFormat="1" applyFont="1" applyBorder="1" applyAlignment="1">
      <alignment horizontal="center" vertical="center" wrapText="1"/>
    </xf>
    <xf numFmtId="10" fontId="7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0" fillId="0" borderId="11" xfId="0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center" vertical="center" wrapText="1" readingOrder="1"/>
    </xf>
    <xf numFmtId="11" fontId="6" fillId="0" borderId="10" xfId="0" applyNumberFormat="1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center" vertical="center" wrapText="1" readingOrder="1"/>
    </xf>
    <xf numFmtId="0" fontId="0" fillId="0" borderId="7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 readingOrder="1"/>
    </xf>
    <xf numFmtId="0" fontId="6" fillId="0" borderId="12" xfId="0" applyFont="1" applyBorder="1" applyAlignment="1">
      <alignment horizontal="center" vertical="center" wrapText="1" readingOrder="1"/>
    </xf>
    <xf numFmtId="4" fontId="6" fillId="0" borderId="10" xfId="0" applyNumberFormat="1" applyFont="1" applyBorder="1" applyAlignment="1">
      <alignment horizontal="center" vertical="center" wrapText="1" readingOrder="1"/>
    </xf>
    <xf numFmtId="4" fontId="6" fillId="0" borderId="11" xfId="0" applyNumberFormat="1" applyFont="1" applyBorder="1" applyAlignment="1">
      <alignment horizontal="center" vertical="center" wrapText="1" readingOrder="1"/>
    </xf>
    <xf numFmtId="4" fontId="6" fillId="0" borderId="12" xfId="0" applyNumberFormat="1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(1)</a:t>
            </a:r>
            <a:r>
              <a:rPr lang="zh-TW" altLang="en-US"/>
              <a:t>電子零組件 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台灣貿易出口!$C$4:$C$26</c:f>
              <c:numCache>
                <c:formatCode>#,##0.00</c:formatCode>
                <c:ptCount val="23"/>
                <c:pt idx="0">
                  <c:v>29194.49</c:v>
                </c:pt>
                <c:pt idx="1">
                  <c:v>31495.891</c:v>
                </c:pt>
                <c:pt idx="2">
                  <c:v>36512.741999999998</c:v>
                </c:pt>
                <c:pt idx="3">
                  <c:v>38309.127</c:v>
                </c:pt>
                <c:pt idx="4">
                  <c:v>37470.684999999998</c:v>
                </c:pt>
                <c:pt idx="5">
                  <c:v>41281.078999999998</c:v>
                </c:pt>
                <c:pt idx="6">
                  <c:v>46469.025000000001</c:v>
                </c:pt>
                <c:pt idx="7">
                  <c:v>46773.745999999999</c:v>
                </c:pt>
                <c:pt idx="8">
                  <c:v>49874.326000000001</c:v>
                </c:pt>
                <c:pt idx="9">
                  <c:v>51176.127999999997</c:v>
                </c:pt>
                <c:pt idx="10">
                  <c:v>50985.773000000001</c:v>
                </c:pt>
                <c:pt idx="11">
                  <c:v>48097.987000000001</c:v>
                </c:pt>
                <c:pt idx="12">
                  <c:v>41216.607000000004</c:v>
                </c:pt>
                <c:pt idx="13">
                  <c:v>44371.627999999997</c:v>
                </c:pt>
                <c:pt idx="14">
                  <c:v>47011.373</c:v>
                </c:pt>
                <c:pt idx="15">
                  <c:v>46100.345999999998</c:v>
                </c:pt>
                <c:pt idx="16">
                  <c:v>39847.197999999997</c:v>
                </c:pt>
                <c:pt idx="17">
                  <c:v>40917.368000000002</c:v>
                </c:pt>
                <c:pt idx="18">
                  <c:v>45949.186999999998</c:v>
                </c:pt>
                <c:pt idx="19">
                  <c:v>50508.853999999999</c:v>
                </c:pt>
                <c:pt idx="20">
                  <c:v>45955.381999999998</c:v>
                </c:pt>
                <c:pt idx="21">
                  <c:v>52730.436999999998</c:v>
                </c:pt>
                <c:pt idx="22">
                  <c:v>60243.868000000002</c:v>
                </c:pt>
              </c:numCache>
            </c:numRef>
          </c:xVal>
          <c:yVal>
            <c:numRef>
              <c:f>迴歸!$C$26:$C$48</c:f>
              <c:numCache>
                <c:formatCode>General</c:formatCode>
                <c:ptCount val="23"/>
                <c:pt idx="0">
                  <c:v>1477.5055940004822</c:v>
                </c:pt>
                <c:pt idx="1">
                  <c:v>-2901.2271330155345</c:v>
                </c:pt>
                <c:pt idx="2">
                  <c:v>-2819.3200082581461</c:v>
                </c:pt>
                <c:pt idx="3">
                  <c:v>440.77701565170719</c:v>
                </c:pt>
                <c:pt idx="4">
                  <c:v>3379.3365411105187</c:v>
                </c:pt>
                <c:pt idx="5">
                  <c:v>6322.1385081040935</c:v>
                </c:pt>
                <c:pt idx="6">
                  <c:v>3950.5467538757512</c:v>
                </c:pt>
                <c:pt idx="7">
                  <c:v>7801.2976143461128</c:v>
                </c:pt>
                <c:pt idx="8">
                  <c:v>1668.7060896793701</c:v>
                </c:pt>
                <c:pt idx="9">
                  <c:v>3824.133208800049</c:v>
                </c:pt>
                <c:pt idx="10">
                  <c:v>-835.59069648303557</c:v>
                </c:pt>
                <c:pt idx="11">
                  <c:v>-5143.7449265965988</c:v>
                </c:pt>
                <c:pt idx="12">
                  <c:v>-4136.7368523082114</c:v>
                </c:pt>
                <c:pt idx="13">
                  <c:v>-5042.1802853033732</c:v>
                </c:pt>
                <c:pt idx="14">
                  <c:v>-4681.7644980617042</c:v>
                </c:pt>
                <c:pt idx="15">
                  <c:v>-4501.5155454114138</c:v>
                </c:pt>
                <c:pt idx="16">
                  <c:v>831.07317302050069</c:v>
                </c:pt>
                <c:pt idx="17">
                  <c:v>2348.6593466738123</c:v>
                </c:pt>
                <c:pt idx="18">
                  <c:v>-265.91210300395323</c:v>
                </c:pt>
                <c:pt idx="19">
                  <c:v>-5529.8962119984499</c:v>
                </c:pt>
                <c:pt idx="20">
                  <c:v>816.88218495965702</c:v>
                </c:pt>
                <c:pt idx="21">
                  <c:v>3278.3452730273129</c:v>
                </c:pt>
                <c:pt idx="22">
                  <c:v>-281.5130428095581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C7-4D5A-A9CE-585B117FA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859455"/>
        <c:axId val="1207843135"/>
      </c:scatterChart>
      <c:valAx>
        <c:axId val="1207859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(1)</a:t>
                </a:r>
                <a:r>
                  <a:rPr lang="zh-TW" altLang="en-US"/>
                  <a:t>電子零組件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43135"/>
        <c:crosses val="autoZero"/>
        <c:crossBetween val="midCat"/>
      </c:valAx>
      <c:valAx>
        <c:axId val="1207843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85945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(4)</a:t>
            </a:r>
            <a:r>
              <a:rPr lang="zh-TW" altLang="en-US"/>
              <a:t>資通與視聽產品 殘差圖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台灣貿易出口!$D$4:$D$26</c:f>
              <c:numCache>
                <c:formatCode>#,##0.00</c:formatCode>
                <c:ptCount val="23"/>
                <c:pt idx="0">
                  <c:v>10172.174000000001</c:v>
                </c:pt>
                <c:pt idx="1">
                  <c:v>11438.767</c:v>
                </c:pt>
                <c:pt idx="2">
                  <c:v>13371.74</c:v>
                </c:pt>
                <c:pt idx="3">
                  <c:v>14162.476000000001</c:v>
                </c:pt>
                <c:pt idx="4">
                  <c:v>13208.21</c:v>
                </c:pt>
                <c:pt idx="5">
                  <c:v>14721.856</c:v>
                </c:pt>
                <c:pt idx="6">
                  <c:v>16008.76</c:v>
                </c:pt>
                <c:pt idx="7">
                  <c:v>17384.201000000001</c:v>
                </c:pt>
                <c:pt idx="8">
                  <c:v>15477.357</c:v>
                </c:pt>
                <c:pt idx="9">
                  <c:v>15729.120999999999</c:v>
                </c:pt>
                <c:pt idx="10">
                  <c:v>16353.352999999999</c:v>
                </c:pt>
                <c:pt idx="11">
                  <c:v>17118.946</c:v>
                </c:pt>
                <c:pt idx="12">
                  <c:v>13625.132</c:v>
                </c:pt>
                <c:pt idx="13">
                  <c:v>16304.038</c:v>
                </c:pt>
                <c:pt idx="14">
                  <c:v>24950.97</c:v>
                </c:pt>
                <c:pt idx="15">
                  <c:v>28475.112000000001</c:v>
                </c:pt>
                <c:pt idx="16">
                  <c:v>30572.527999999998</c:v>
                </c:pt>
                <c:pt idx="17">
                  <c:v>31934.307000000001</c:v>
                </c:pt>
                <c:pt idx="18">
                  <c:v>36251.906000000003</c:v>
                </c:pt>
                <c:pt idx="19">
                  <c:v>33742.392</c:v>
                </c:pt>
                <c:pt idx="20">
                  <c:v>43512.544999999998</c:v>
                </c:pt>
                <c:pt idx="21">
                  <c:v>58397.440999999999</c:v>
                </c:pt>
                <c:pt idx="22">
                  <c:v>66846.683999999994</c:v>
                </c:pt>
              </c:numCache>
            </c:numRef>
          </c:xVal>
          <c:yVal>
            <c:numRef>
              <c:f>迴歸!$C$26:$C$48</c:f>
              <c:numCache>
                <c:formatCode>General</c:formatCode>
                <c:ptCount val="23"/>
                <c:pt idx="0">
                  <c:v>1477.5055940004822</c:v>
                </c:pt>
                <c:pt idx="1">
                  <c:v>-2901.2271330155345</c:v>
                </c:pt>
                <c:pt idx="2">
                  <c:v>-2819.3200082581461</c:v>
                </c:pt>
                <c:pt idx="3">
                  <c:v>440.77701565170719</c:v>
                </c:pt>
                <c:pt idx="4">
                  <c:v>3379.3365411105187</c:v>
                </c:pt>
                <c:pt idx="5">
                  <c:v>6322.1385081040935</c:v>
                </c:pt>
                <c:pt idx="6">
                  <c:v>3950.5467538757512</c:v>
                </c:pt>
                <c:pt idx="7">
                  <c:v>7801.2976143461128</c:v>
                </c:pt>
                <c:pt idx="8">
                  <c:v>1668.7060896793701</c:v>
                </c:pt>
                <c:pt idx="9">
                  <c:v>3824.133208800049</c:v>
                </c:pt>
                <c:pt idx="10">
                  <c:v>-835.59069648303557</c:v>
                </c:pt>
                <c:pt idx="11">
                  <c:v>-5143.7449265965988</c:v>
                </c:pt>
                <c:pt idx="12">
                  <c:v>-4136.7368523082114</c:v>
                </c:pt>
                <c:pt idx="13">
                  <c:v>-5042.1802853033732</c:v>
                </c:pt>
                <c:pt idx="14">
                  <c:v>-4681.7644980617042</c:v>
                </c:pt>
                <c:pt idx="15">
                  <c:v>-4501.5155454114138</c:v>
                </c:pt>
                <c:pt idx="16">
                  <c:v>831.07317302050069</c:v>
                </c:pt>
                <c:pt idx="17">
                  <c:v>2348.6593466738123</c:v>
                </c:pt>
                <c:pt idx="18">
                  <c:v>-265.91210300395323</c:v>
                </c:pt>
                <c:pt idx="19">
                  <c:v>-5529.8962119984499</c:v>
                </c:pt>
                <c:pt idx="20">
                  <c:v>816.88218495965702</c:v>
                </c:pt>
                <c:pt idx="21">
                  <c:v>3278.3452730273129</c:v>
                </c:pt>
                <c:pt idx="22">
                  <c:v>-281.5130428095581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CA-472E-BA0E-3DF1689B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861375"/>
        <c:axId val="1207861855"/>
      </c:scatterChart>
      <c:valAx>
        <c:axId val="1207861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(4)</a:t>
                </a:r>
                <a:r>
                  <a:rPr lang="zh-TW" altLang="en-US"/>
                  <a:t>資通與視聽產品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61855"/>
        <c:crosses val="autoZero"/>
        <c:crossBetween val="midCat"/>
      </c:valAx>
      <c:valAx>
        <c:axId val="1207861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殘差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786137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(1)</a:t>
            </a:r>
            <a:r>
              <a:rPr lang="zh-TW" altLang="en-US"/>
              <a:t>電子零組件 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總計</c:v>
          </c:tx>
          <c:spPr>
            <a:ln w="38100">
              <a:noFill/>
            </a:ln>
          </c:spPr>
          <c:xVal>
            <c:numRef>
              <c:f>台灣貿易出口!$C$4:$C$26</c:f>
              <c:numCache>
                <c:formatCode>#,##0.00</c:formatCode>
                <c:ptCount val="23"/>
                <c:pt idx="0">
                  <c:v>29194.49</c:v>
                </c:pt>
                <c:pt idx="1">
                  <c:v>31495.891</c:v>
                </c:pt>
                <c:pt idx="2">
                  <c:v>36512.741999999998</c:v>
                </c:pt>
                <c:pt idx="3">
                  <c:v>38309.127</c:v>
                </c:pt>
                <c:pt idx="4">
                  <c:v>37470.684999999998</c:v>
                </c:pt>
                <c:pt idx="5">
                  <c:v>41281.078999999998</c:v>
                </c:pt>
                <c:pt idx="6">
                  <c:v>46469.025000000001</c:v>
                </c:pt>
                <c:pt idx="7">
                  <c:v>46773.745999999999</c:v>
                </c:pt>
                <c:pt idx="8">
                  <c:v>49874.326000000001</c:v>
                </c:pt>
                <c:pt idx="9">
                  <c:v>51176.127999999997</c:v>
                </c:pt>
                <c:pt idx="10">
                  <c:v>50985.773000000001</c:v>
                </c:pt>
                <c:pt idx="11">
                  <c:v>48097.987000000001</c:v>
                </c:pt>
                <c:pt idx="12">
                  <c:v>41216.607000000004</c:v>
                </c:pt>
                <c:pt idx="13">
                  <c:v>44371.627999999997</c:v>
                </c:pt>
                <c:pt idx="14">
                  <c:v>47011.373</c:v>
                </c:pt>
                <c:pt idx="15">
                  <c:v>46100.345999999998</c:v>
                </c:pt>
                <c:pt idx="16">
                  <c:v>39847.197999999997</c:v>
                </c:pt>
                <c:pt idx="17">
                  <c:v>40917.368000000002</c:v>
                </c:pt>
                <c:pt idx="18">
                  <c:v>45949.186999999998</c:v>
                </c:pt>
                <c:pt idx="19">
                  <c:v>50508.853999999999</c:v>
                </c:pt>
                <c:pt idx="20">
                  <c:v>45955.381999999998</c:v>
                </c:pt>
                <c:pt idx="21">
                  <c:v>52730.436999999998</c:v>
                </c:pt>
                <c:pt idx="22">
                  <c:v>60243.868000000002</c:v>
                </c:pt>
              </c:numCache>
            </c:numRef>
          </c:xVal>
          <c:yVal>
            <c:numRef>
              <c:f>台灣貿易出口!$B$4:$B$26</c:f>
              <c:numCache>
                <c:formatCode>#,##0.00</c:formatCode>
                <c:ptCount val="23"/>
                <c:pt idx="0">
                  <c:v>78623.03</c:v>
                </c:pt>
                <c:pt idx="1">
                  <c:v>79337.489000000001</c:v>
                </c:pt>
                <c:pt idx="2">
                  <c:v>90024.37</c:v>
                </c:pt>
                <c:pt idx="3">
                  <c:v>97141.054999999993</c:v>
                </c:pt>
                <c:pt idx="4">
                  <c:v>97927.854000000007</c:v>
                </c:pt>
                <c:pt idx="5">
                  <c:v>108952.694</c:v>
                </c:pt>
                <c:pt idx="6">
                  <c:v>117119.796</c:v>
                </c:pt>
                <c:pt idx="7">
                  <c:v>122370.84699999999</c:v>
                </c:pt>
                <c:pt idx="8">
                  <c:v>120928.287</c:v>
                </c:pt>
                <c:pt idx="9">
                  <c:v>125685.4</c:v>
                </c:pt>
                <c:pt idx="10">
                  <c:v>121042.57799999999</c:v>
                </c:pt>
                <c:pt idx="11">
                  <c:v>111758.965</c:v>
                </c:pt>
                <c:pt idx="12">
                  <c:v>97713.262000000002</c:v>
                </c:pt>
                <c:pt idx="13">
                  <c:v>104356.656</c:v>
                </c:pt>
                <c:pt idx="14">
                  <c:v>114883.18399999999</c:v>
                </c:pt>
                <c:pt idx="15">
                  <c:v>115466.86</c:v>
                </c:pt>
                <c:pt idx="16">
                  <c:v>110289.939</c:v>
                </c:pt>
                <c:pt idx="17">
                  <c:v>114640.405</c:v>
                </c:pt>
                <c:pt idx="18">
                  <c:v>124092.296</c:v>
                </c:pt>
                <c:pt idx="19">
                  <c:v>125902.514</c:v>
                </c:pt>
                <c:pt idx="20">
                  <c:v>129550.86500000001</c:v>
                </c:pt>
                <c:pt idx="21">
                  <c:v>153711.68299999999</c:v>
                </c:pt>
                <c:pt idx="22">
                  <c:v>169372.76800000001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9E-4B84-B86E-F9F719D314CA}"/>
            </c:ext>
          </c:extLst>
        </c:ser>
        <c:ser>
          <c:idx val="1"/>
          <c:order val="1"/>
          <c:tx>
            <c:v>預測為 總計</c:v>
          </c:tx>
          <c:spPr>
            <a:ln w="38100">
              <a:noFill/>
            </a:ln>
          </c:spPr>
          <c:xVal>
            <c:numRef>
              <c:f>台灣貿易出口!$C$4:$C$26</c:f>
              <c:numCache>
                <c:formatCode>#,##0.00</c:formatCode>
                <c:ptCount val="23"/>
                <c:pt idx="0">
                  <c:v>29194.49</c:v>
                </c:pt>
                <c:pt idx="1">
                  <c:v>31495.891</c:v>
                </c:pt>
                <c:pt idx="2">
                  <c:v>36512.741999999998</c:v>
                </c:pt>
                <c:pt idx="3">
                  <c:v>38309.127</c:v>
                </c:pt>
                <c:pt idx="4">
                  <c:v>37470.684999999998</c:v>
                </c:pt>
                <c:pt idx="5">
                  <c:v>41281.078999999998</c:v>
                </c:pt>
                <c:pt idx="6">
                  <c:v>46469.025000000001</c:v>
                </c:pt>
                <c:pt idx="7">
                  <c:v>46773.745999999999</c:v>
                </c:pt>
                <c:pt idx="8">
                  <c:v>49874.326000000001</c:v>
                </c:pt>
                <c:pt idx="9">
                  <c:v>51176.127999999997</c:v>
                </c:pt>
                <c:pt idx="10">
                  <c:v>50985.773000000001</c:v>
                </c:pt>
                <c:pt idx="11">
                  <c:v>48097.987000000001</c:v>
                </c:pt>
                <c:pt idx="12">
                  <c:v>41216.607000000004</c:v>
                </c:pt>
                <c:pt idx="13">
                  <c:v>44371.627999999997</c:v>
                </c:pt>
                <c:pt idx="14">
                  <c:v>47011.373</c:v>
                </c:pt>
                <c:pt idx="15">
                  <c:v>46100.345999999998</c:v>
                </c:pt>
                <c:pt idx="16">
                  <c:v>39847.197999999997</c:v>
                </c:pt>
                <c:pt idx="17">
                  <c:v>40917.368000000002</c:v>
                </c:pt>
                <c:pt idx="18">
                  <c:v>45949.186999999998</c:v>
                </c:pt>
                <c:pt idx="19">
                  <c:v>50508.853999999999</c:v>
                </c:pt>
                <c:pt idx="20">
                  <c:v>45955.381999999998</c:v>
                </c:pt>
                <c:pt idx="21">
                  <c:v>52730.436999999998</c:v>
                </c:pt>
                <c:pt idx="22">
                  <c:v>60243.868000000002</c:v>
                </c:pt>
              </c:numCache>
            </c:numRef>
          </c:xVal>
          <c:yVal>
            <c:numRef>
              <c:f>迴歸!$B$26:$B$48</c:f>
              <c:numCache>
                <c:formatCode>General</c:formatCode>
                <c:ptCount val="23"/>
                <c:pt idx="0">
                  <c:v>77145.524405999517</c:v>
                </c:pt>
                <c:pt idx="1">
                  <c:v>82238.716133015536</c:v>
                </c:pt>
                <c:pt idx="2">
                  <c:v>92843.690008258141</c:v>
                </c:pt>
                <c:pt idx="3">
                  <c:v>96700.277984348286</c:v>
                </c:pt>
                <c:pt idx="4">
                  <c:v>94548.517458889488</c:v>
                </c:pt>
                <c:pt idx="5">
                  <c:v>102630.55549189591</c:v>
                </c:pt>
                <c:pt idx="6">
                  <c:v>113169.24924612425</c:v>
                </c:pt>
                <c:pt idx="7">
                  <c:v>114569.54938565388</c:v>
                </c:pt>
                <c:pt idx="8">
                  <c:v>119259.58091032063</c:v>
                </c:pt>
                <c:pt idx="9">
                  <c:v>121861.26679119995</c:v>
                </c:pt>
                <c:pt idx="10">
                  <c:v>121878.16869648303</c:v>
                </c:pt>
                <c:pt idx="11">
                  <c:v>116902.7099265966</c:v>
                </c:pt>
                <c:pt idx="12">
                  <c:v>101849.99885230821</c:v>
                </c:pt>
                <c:pt idx="13">
                  <c:v>109398.83628530338</c:v>
                </c:pt>
                <c:pt idx="14">
                  <c:v>119564.9484980617</c:v>
                </c:pt>
                <c:pt idx="15">
                  <c:v>119968.37554541141</c:v>
                </c:pt>
                <c:pt idx="16">
                  <c:v>109458.8658269795</c:v>
                </c:pt>
                <c:pt idx="17">
                  <c:v>112291.74565332619</c:v>
                </c:pt>
                <c:pt idx="18">
                  <c:v>124358.20810300396</c:v>
                </c:pt>
                <c:pt idx="19">
                  <c:v>131432.41021199845</c:v>
                </c:pt>
                <c:pt idx="20">
                  <c:v>128733.98281504035</c:v>
                </c:pt>
                <c:pt idx="21">
                  <c:v>150433.33772697268</c:v>
                </c:pt>
                <c:pt idx="22">
                  <c:v>169654.28104280957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9E-4B84-B86E-F9F719D31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888255"/>
        <c:axId val="1207897855"/>
      </c:scatterChart>
      <c:valAx>
        <c:axId val="1207888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(1)</a:t>
                </a:r>
                <a:r>
                  <a:rPr lang="zh-TW" altLang="en-US"/>
                  <a:t>電子零組件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97855"/>
        <c:crosses val="autoZero"/>
        <c:crossBetween val="midCat"/>
      </c:valAx>
      <c:valAx>
        <c:axId val="12078978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總計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882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(4)</a:t>
            </a:r>
            <a:r>
              <a:rPr lang="zh-TW" altLang="en-US"/>
              <a:t>資通與視聽產品 樣本迴歸線圖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總計</c:v>
          </c:tx>
          <c:spPr>
            <a:ln w="38100">
              <a:noFill/>
            </a:ln>
          </c:spPr>
          <c:xVal>
            <c:numRef>
              <c:f>台灣貿易出口!$D$4:$D$26</c:f>
              <c:numCache>
                <c:formatCode>#,##0.00</c:formatCode>
                <c:ptCount val="23"/>
                <c:pt idx="0">
                  <c:v>10172.174000000001</c:v>
                </c:pt>
                <c:pt idx="1">
                  <c:v>11438.767</c:v>
                </c:pt>
                <c:pt idx="2">
                  <c:v>13371.74</c:v>
                </c:pt>
                <c:pt idx="3">
                  <c:v>14162.476000000001</c:v>
                </c:pt>
                <c:pt idx="4">
                  <c:v>13208.21</c:v>
                </c:pt>
                <c:pt idx="5">
                  <c:v>14721.856</c:v>
                </c:pt>
                <c:pt idx="6">
                  <c:v>16008.76</c:v>
                </c:pt>
                <c:pt idx="7">
                  <c:v>17384.201000000001</c:v>
                </c:pt>
                <c:pt idx="8">
                  <c:v>15477.357</c:v>
                </c:pt>
                <c:pt idx="9">
                  <c:v>15729.120999999999</c:v>
                </c:pt>
                <c:pt idx="10">
                  <c:v>16353.352999999999</c:v>
                </c:pt>
                <c:pt idx="11">
                  <c:v>17118.946</c:v>
                </c:pt>
                <c:pt idx="12">
                  <c:v>13625.132</c:v>
                </c:pt>
                <c:pt idx="13">
                  <c:v>16304.038</c:v>
                </c:pt>
                <c:pt idx="14">
                  <c:v>24950.97</c:v>
                </c:pt>
                <c:pt idx="15">
                  <c:v>28475.112000000001</c:v>
                </c:pt>
                <c:pt idx="16">
                  <c:v>30572.527999999998</c:v>
                </c:pt>
                <c:pt idx="17">
                  <c:v>31934.307000000001</c:v>
                </c:pt>
                <c:pt idx="18">
                  <c:v>36251.906000000003</c:v>
                </c:pt>
                <c:pt idx="19">
                  <c:v>33742.392</c:v>
                </c:pt>
                <c:pt idx="20">
                  <c:v>43512.544999999998</c:v>
                </c:pt>
                <c:pt idx="21">
                  <c:v>58397.440999999999</c:v>
                </c:pt>
                <c:pt idx="22">
                  <c:v>66846.683999999994</c:v>
                </c:pt>
              </c:numCache>
            </c:numRef>
          </c:xVal>
          <c:yVal>
            <c:numRef>
              <c:f>台灣貿易出口!$B$4:$B$26</c:f>
              <c:numCache>
                <c:formatCode>#,##0.00</c:formatCode>
                <c:ptCount val="23"/>
                <c:pt idx="0">
                  <c:v>78623.03</c:v>
                </c:pt>
                <c:pt idx="1">
                  <c:v>79337.489000000001</c:v>
                </c:pt>
                <c:pt idx="2">
                  <c:v>90024.37</c:v>
                </c:pt>
                <c:pt idx="3">
                  <c:v>97141.054999999993</c:v>
                </c:pt>
                <c:pt idx="4">
                  <c:v>97927.854000000007</c:v>
                </c:pt>
                <c:pt idx="5">
                  <c:v>108952.694</c:v>
                </c:pt>
                <c:pt idx="6">
                  <c:v>117119.796</c:v>
                </c:pt>
                <c:pt idx="7">
                  <c:v>122370.84699999999</c:v>
                </c:pt>
                <c:pt idx="8">
                  <c:v>120928.287</c:v>
                </c:pt>
                <c:pt idx="9">
                  <c:v>125685.4</c:v>
                </c:pt>
                <c:pt idx="10">
                  <c:v>121042.57799999999</c:v>
                </c:pt>
                <c:pt idx="11">
                  <c:v>111758.965</c:v>
                </c:pt>
                <c:pt idx="12">
                  <c:v>97713.262000000002</c:v>
                </c:pt>
                <c:pt idx="13">
                  <c:v>104356.656</c:v>
                </c:pt>
                <c:pt idx="14">
                  <c:v>114883.18399999999</c:v>
                </c:pt>
                <c:pt idx="15">
                  <c:v>115466.86</c:v>
                </c:pt>
                <c:pt idx="16">
                  <c:v>110289.939</c:v>
                </c:pt>
                <c:pt idx="17">
                  <c:v>114640.405</c:v>
                </c:pt>
                <c:pt idx="18">
                  <c:v>124092.296</c:v>
                </c:pt>
                <c:pt idx="19">
                  <c:v>125902.514</c:v>
                </c:pt>
                <c:pt idx="20">
                  <c:v>129550.86500000001</c:v>
                </c:pt>
                <c:pt idx="21">
                  <c:v>153711.68299999999</c:v>
                </c:pt>
                <c:pt idx="22">
                  <c:v>169372.76800000001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3E-4ADE-9D7F-AEB4FEB9DC6D}"/>
            </c:ext>
          </c:extLst>
        </c:ser>
        <c:ser>
          <c:idx val="1"/>
          <c:order val="1"/>
          <c:tx>
            <c:v>預測為 總計</c:v>
          </c:tx>
          <c:spPr>
            <a:ln w="38100">
              <a:noFill/>
            </a:ln>
          </c:spPr>
          <c:xVal>
            <c:numRef>
              <c:f>台灣貿易出口!$D$4:$D$26</c:f>
              <c:numCache>
                <c:formatCode>#,##0.00</c:formatCode>
                <c:ptCount val="23"/>
                <c:pt idx="0">
                  <c:v>10172.174000000001</c:v>
                </c:pt>
                <c:pt idx="1">
                  <c:v>11438.767</c:v>
                </c:pt>
                <c:pt idx="2">
                  <c:v>13371.74</c:v>
                </c:pt>
                <c:pt idx="3">
                  <c:v>14162.476000000001</c:v>
                </c:pt>
                <c:pt idx="4">
                  <c:v>13208.21</c:v>
                </c:pt>
                <c:pt idx="5">
                  <c:v>14721.856</c:v>
                </c:pt>
                <c:pt idx="6">
                  <c:v>16008.76</c:v>
                </c:pt>
                <c:pt idx="7">
                  <c:v>17384.201000000001</c:v>
                </c:pt>
                <c:pt idx="8">
                  <c:v>15477.357</c:v>
                </c:pt>
                <c:pt idx="9">
                  <c:v>15729.120999999999</c:v>
                </c:pt>
                <c:pt idx="10">
                  <c:v>16353.352999999999</c:v>
                </c:pt>
                <c:pt idx="11">
                  <c:v>17118.946</c:v>
                </c:pt>
                <c:pt idx="12">
                  <c:v>13625.132</c:v>
                </c:pt>
                <c:pt idx="13">
                  <c:v>16304.038</c:v>
                </c:pt>
                <c:pt idx="14">
                  <c:v>24950.97</c:v>
                </c:pt>
                <c:pt idx="15">
                  <c:v>28475.112000000001</c:v>
                </c:pt>
                <c:pt idx="16">
                  <c:v>30572.527999999998</c:v>
                </c:pt>
                <c:pt idx="17">
                  <c:v>31934.307000000001</c:v>
                </c:pt>
                <c:pt idx="18">
                  <c:v>36251.906000000003</c:v>
                </c:pt>
                <c:pt idx="19">
                  <c:v>33742.392</c:v>
                </c:pt>
                <c:pt idx="20">
                  <c:v>43512.544999999998</c:v>
                </c:pt>
                <c:pt idx="21">
                  <c:v>58397.440999999999</c:v>
                </c:pt>
                <c:pt idx="22">
                  <c:v>66846.683999999994</c:v>
                </c:pt>
              </c:numCache>
            </c:numRef>
          </c:xVal>
          <c:yVal>
            <c:numRef>
              <c:f>迴歸!$B$26:$B$48</c:f>
              <c:numCache>
                <c:formatCode>General</c:formatCode>
                <c:ptCount val="23"/>
                <c:pt idx="0">
                  <c:v>77145.524405999517</c:v>
                </c:pt>
                <c:pt idx="1">
                  <c:v>82238.716133015536</c:v>
                </c:pt>
                <c:pt idx="2">
                  <c:v>92843.690008258141</c:v>
                </c:pt>
                <c:pt idx="3">
                  <c:v>96700.277984348286</c:v>
                </c:pt>
                <c:pt idx="4">
                  <c:v>94548.517458889488</c:v>
                </c:pt>
                <c:pt idx="5">
                  <c:v>102630.55549189591</c:v>
                </c:pt>
                <c:pt idx="6">
                  <c:v>113169.24924612425</c:v>
                </c:pt>
                <c:pt idx="7">
                  <c:v>114569.54938565388</c:v>
                </c:pt>
                <c:pt idx="8">
                  <c:v>119259.58091032063</c:v>
                </c:pt>
                <c:pt idx="9">
                  <c:v>121861.26679119995</c:v>
                </c:pt>
                <c:pt idx="10">
                  <c:v>121878.16869648303</c:v>
                </c:pt>
                <c:pt idx="11">
                  <c:v>116902.7099265966</c:v>
                </c:pt>
                <c:pt idx="12">
                  <c:v>101849.99885230821</c:v>
                </c:pt>
                <c:pt idx="13">
                  <c:v>109398.83628530338</c:v>
                </c:pt>
                <c:pt idx="14">
                  <c:v>119564.9484980617</c:v>
                </c:pt>
                <c:pt idx="15">
                  <c:v>119968.37554541141</c:v>
                </c:pt>
                <c:pt idx="16">
                  <c:v>109458.8658269795</c:v>
                </c:pt>
                <c:pt idx="17">
                  <c:v>112291.74565332619</c:v>
                </c:pt>
                <c:pt idx="18">
                  <c:v>124358.20810300396</c:v>
                </c:pt>
                <c:pt idx="19">
                  <c:v>131432.41021199845</c:v>
                </c:pt>
                <c:pt idx="20">
                  <c:v>128733.98281504035</c:v>
                </c:pt>
                <c:pt idx="21">
                  <c:v>150433.33772697268</c:v>
                </c:pt>
                <c:pt idx="22">
                  <c:v>169654.28104280957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3E-4ADE-9D7F-AEB4FEB9D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896895"/>
        <c:axId val="1207890175"/>
      </c:scatterChart>
      <c:valAx>
        <c:axId val="120789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TW"/>
                  <a:t>(4)</a:t>
                </a:r>
                <a:r>
                  <a:rPr lang="zh-TW" altLang="en-US"/>
                  <a:t>資通與視聽產品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90175"/>
        <c:crosses val="autoZero"/>
        <c:crossBetween val="midCat"/>
      </c:valAx>
      <c:valAx>
        <c:axId val="1207890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總計</a:t>
                </a:r>
              </a:p>
            </c:rich>
          </c:tx>
          <c:overlay val="0"/>
        </c:title>
        <c:numFmt formatCode="#,##0.00" sourceLinked="1"/>
        <c:majorTickMark val="out"/>
        <c:minorTickMark val="none"/>
        <c:tickLblPos val="nextTo"/>
        <c:crossAx val="12078968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常態機率圖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迴歸!$E$26:$E$48</c:f>
              <c:numCache>
                <c:formatCode>General</c:formatCode>
                <c:ptCount val="23"/>
                <c:pt idx="0">
                  <c:v>2.1739130434782608</c:v>
                </c:pt>
                <c:pt idx="1">
                  <c:v>6.5217391304347823</c:v>
                </c:pt>
                <c:pt idx="2">
                  <c:v>10.869565217391305</c:v>
                </c:pt>
                <c:pt idx="3">
                  <c:v>15.217391304347824</c:v>
                </c:pt>
                <c:pt idx="4">
                  <c:v>19.565217391304348</c:v>
                </c:pt>
                <c:pt idx="5">
                  <c:v>23.913043478260871</c:v>
                </c:pt>
                <c:pt idx="6">
                  <c:v>28.260869565217391</c:v>
                </c:pt>
                <c:pt idx="7">
                  <c:v>32.608695652173907</c:v>
                </c:pt>
                <c:pt idx="8">
                  <c:v>36.95652173913043</c:v>
                </c:pt>
                <c:pt idx="9">
                  <c:v>41.304347826086953</c:v>
                </c:pt>
                <c:pt idx="10">
                  <c:v>45.652173913043477</c:v>
                </c:pt>
                <c:pt idx="11">
                  <c:v>49.999999999999993</c:v>
                </c:pt>
                <c:pt idx="12">
                  <c:v>54.347826086956516</c:v>
                </c:pt>
                <c:pt idx="13">
                  <c:v>58.695652173913039</c:v>
                </c:pt>
                <c:pt idx="14">
                  <c:v>63.043478260869556</c:v>
                </c:pt>
                <c:pt idx="15">
                  <c:v>67.391304347826093</c:v>
                </c:pt>
                <c:pt idx="16">
                  <c:v>71.739130434782609</c:v>
                </c:pt>
                <c:pt idx="17">
                  <c:v>76.086956521739125</c:v>
                </c:pt>
                <c:pt idx="18">
                  <c:v>80.434782608695656</c:v>
                </c:pt>
                <c:pt idx="19">
                  <c:v>84.782608695652172</c:v>
                </c:pt>
                <c:pt idx="20">
                  <c:v>89.130434782608702</c:v>
                </c:pt>
                <c:pt idx="21">
                  <c:v>93.478260869565219</c:v>
                </c:pt>
                <c:pt idx="22">
                  <c:v>97.826086956521735</c:v>
                </c:pt>
              </c:numCache>
            </c:numRef>
          </c:xVal>
          <c:yVal>
            <c:numRef>
              <c:f>迴歸!$F$26:$F$48</c:f>
              <c:numCache>
                <c:formatCode>General</c:formatCode>
                <c:ptCount val="23"/>
                <c:pt idx="0">
                  <c:v>78623.03</c:v>
                </c:pt>
                <c:pt idx="1">
                  <c:v>79337.489000000001</c:v>
                </c:pt>
                <c:pt idx="2">
                  <c:v>90024.37</c:v>
                </c:pt>
                <c:pt idx="3">
                  <c:v>97141.054999999993</c:v>
                </c:pt>
                <c:pt idx="4">
                  <c:v>97713.262000000002</c:v>
                </c:pt>
                <c:pt idx="5">
                  <c:v>97927.854000000007</c:v>
                </c:pt>
                <c:pt idx="6">
                  <c:v>104356.656</c:v>
                </c:pt>
                <c:pt idx="7">
                  <c:v>108952.694</c:v>
                </c:pt>
                <c:pt idx="8">
                  <c:v>110289.939</c:v>
                </c:pt>
                <c:pt idx="9">
                  <c:v>111758.965</c:v>
                </c:pt>
                <c:pt idx="10">
                  <c:v>114640.405</c:v>
                </c:pt>
                <c:pt idx="11">
                  <c:v>114883.18399999999</c:v>
                </c:pt>
                <c:pt idx="12">
                  <c:v>115466.86</c:v>
                </c:pt>
                <c:pt idx="13">
                  <c:v>117119.796</c:v>
                </c:pt>
                <c:pt idx="14">
                  <c:v>120928.287</c:v>
                </c:pt>
                <c:pt idx="15">
                  <c:v>121042.57799999999</c:v>
                </c:pt>
                <c:pt idx="16">
                  <c:v>122370.84699999999</c:v>
                </c:pt>
                <c:pt idx="17">
                  <c:v>124092.296</c:v>
                </c:pt>
                <c:pt idx="18">
                  <c:v>125685.4</c:v>
                </c:pt>
                <c:pt idx="19">
                  <c:v>125902.514</c:v>
                </c:pt>
                <c:pt idx="20">
                  <c:v>129550.86500000001</c:v>
                </c:pt>
                <c:pt idx="21">
                  <c:v>153711.68299999999</c:v>
                </c:pt>
                <c:pt idx="22">
                  <c:v>169372.76800000001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E6-4B61-A03A-64DD92F64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343935"/>
        <c:axId val="995351135"/>
      </c:scatterChart>
      <c:valAx>
        <c:axId val="995343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樣本百分比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5351135"/>
        <c:crosses val="autoZero"/>
        <c:crossBetween val="midCat"/>
      </c:valAx>
      <c:valAx>
        <c:axId val="995351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總計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534393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TW" altLang="en-US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台灣貿易出口總額</a:t>
            </a:r>
            <a:endParaRPr lang="en-US" altLang="zh-TW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台灣貿易出口!$B$1:$B$3</c:f>
              <c:strCache>
                <c:ptCount val="3"/>
                <c:pt idx="0">
                  <c:v>按美元計算(百萬美元)</c:v>
                </c:pt>
                <c:pt idx="1">
                  <c:v>按美元計算(百萬美元)</c:v>
                </c:pt>
                <c:pt idx="2">
                  <c:v>總計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>
                    <a:alpha val="98000"/>
                  </a:schemeClr>
                </a:solidFill>
              </a:ln>
              <a:effectLst/>
            </c:spPr>
          </c:marker>
          <c:cat>
            <c:strRef>
              <c:f>台灣貿易出口!$A$4:$A$26</c:f>
              <c:strCache>
                <c:ptCount val="23"/>
                <c:pt idx="0">
                  <c:v>109年 第1季</c:v>
                </c:pt>
                <c:pt idx="1">
                  <c:v>109年 第2季</c:v>
                </c:pt>
                <c:pt idx="2">
                  <c:v>109年 第3季</c:v>
                </c:pt>
                <c:pt idx="3">
                  <c:v>109年 第4季</c:v>
                </c:pt>
                <c:pt idx="4">
                  <c:v>110年 第1季</c:v>
                </c:pt>
                <c:pt idx="5">
                  <c:v>110年 第2季</c:v>
                </c:pt>
                <c:pt idx="6">
                  <c:v>110年 第3季</c:v>
                </c:pt>
                <c:pt idx="7">
                  <c:v>110年 第4季</c:v>
                </c:pt>
                <c:pt idx="8">
                  <c:v>111年 第1季</c:v>
                </c:pt>
                <c:pt idx="9">
                  <c:v>111年 第2季</c:v>
                </c:pt>
                <c:pt idx="10">
                  <c:v>111年 第3季</c:v>
                </c:pt>
                <c:pt idx="11">
                  <c:v>111年 第4季</c:v>
                </c:pt>
                <c:pt idx="12">
                  <c:v>112年 第1季</c:v>
                </c:pt>
                <c:pt idx="13">
                  <c:v>112年 第2季</c:v>
                </c:pt>
                <c:pt idx="14">
                  <c:v>112年 第3季</c:v>
                </c:pt>
                <c:pt idx="15">
                  <c:v>112年 第4季</c:v>
                </c:pt>
                <c:pt idx="16">
                  <c:v>113年 第1季</c:v>
                </c:pt>
                <c:pt idx="17">
                  <c:v>113年 第2季</c:v>
                </c:pt>
                <c:pt idx="18">
                  <c:v>113年 第3季</c:v>
                </c:pt>
                <c:pt idx="19">
                  <c:v>113年 第4季</c:v>
                </c:pt>
                <c:pt idx="20">
                  <c:v>114年 第1季</c:v>
                </c:pt>
                <c:pt idx="21">
                  <c:v>114年 第2季</c:v>
                </c:pt>
                <c:pt idx="22">
                  <c:v>114年 第3季</c:v>
                </c:pt>
              </c:strCache>
            </c:strRef>
          </c:cat>
          <c:val>
            <c:numRef>
              <c:f>台灣貿易出口!$B$4:$B$26</c:f>
              <c:numCache>
                <c:formatCode>#,##0.00</c:formatCode>
                <c:ptCount val="23"/>
                <c:pt idx="0">
                  <c:v>78623.03</c:v>
                </c:pt>
                <c:pt idx="1">
                  <c:v>79337.489000000001</c:v>
                </c:pt>
                <c:pt idx="2">
                  <c:v>90024.37</c:v>
                </c:pt>
                <c:pt idx="3">
                  <c:v>97141.054999999993</c:v>
                </c:pt>
                <c:pt idx="4">
                  <c:v>97927.854000000007</c:v>
                </c:pt>
                <c:pt idx="5">
                  <c:v>108952.694</c:v>
                </c:pt>
                <c:pt idx="6">
                  <c:v>117119.796</c:v>
                </c:pt>
                <c:pt idx="7">
                  <c:v>122370.84699999999</c:v>
                </c:pt>
                <c:pt idx="8">
                  <c:v>120928.287</c:v>
                </c:pt>
                <c:pt idx="9">
                  <c:v>125685.4</c:v>
                </c:pt>
                <c:pt idx="10">
                  <c:v>121042.57799999999</c:v>
                </c:pt>
                <c:pt idx="11">
                  <c:v>111758.965</c:v>
                </c:pt>
                <c:pt idx="12">
                  <c:v>97713.262000000002</c:v>
                </c:pt>
                <c:pt idx="13">
                  <c:v>104356.656</c:v>
                </c:pt>
                <c:pt idx="14">
                  <c:v>114883.18399999999</c:v>
                </c:pt>
                <c:pt idx="15">
                  <c:v>115466.86</c:v>
                </c:pt>
                <c:pt idx="16">
                  <c:v>110289.939</c:v>
                </c:pt>
                <c:pt idx="17">
                  <c:v>114640.405</c:v>
                </c:pt>
                <c:pt idx="18">
                  <c:v>124092.296</c:v>
                </c:pt>
                <c:pt idx="19">
                  <c:v>125902.514</c:v>
                </c:pt>
                <c:pt idx="20">
                  <c:v>129550.86500000001</c:v>
                </c:pt>
                <c:pt idx="21">
                  <c:v>153711.68299999999</c:v>
                </c:pt>
                <c:pt idx="22">
                  <c:v>169372.76800000001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0-4433-AF8D-9D4885B9A29E}"/>
            </c:ext>
          </c:extLst>
        </c:ser>
        <c:ser>
          <c:idx val="1"/>
          <c:order val="1"/>
          <c:tx>
            <c:strRef>
              <c:f>台灣貿易出口!$C$1:$C$3</c:f>
              <c:strCache>
                <c:ptCount val="3"/>
                <c:pt idx="0">
                  <c:v>按美元計算(百萬美元)</c:v>
                </c:pt>
                <c:pt idx="1">
                  <c:v>按美元計算(百萬美元)</c:v>
                </c:pt>
                <c:pt idx="2">
                  <c:v>(1)電子零組件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台灣貿易出口!$A$4:$A$26</c:f>
              <c:strCache>
                <c:ptCount val="23"/>
                <c:pt idx="0">
                  <c:v>109年 第1季</c:v>
                </c:pt>
                <c:pt idx="1">
                  <c:v>109年 第2季</c:v>
                </c:pt>
                <c:pt idx="2">
                  <c:v>109年 第3季</c:v>
                </c:pt>
                <c:pt idx="3">
                  <c:v>109年 第4季</c:v>
                </c:pt>
                <c:pt idx="4">
                  <c:v>110年 第1季</c:v>
                </c:pt>
                <c:pt idx="5">
                  <c:v>110年 第2季</c:v>
                </c:pt>
                <c:pt idx="6">
                  <c:v>110年 第3季</c:v>
                </c:pt>
                <c:pt idx="7">
                  <c:v>110年 第4季</c:v>
                </c:pt>
                <c:pt idx="8">
                  <c:v>111年 第1季</c:v>
                </c:pt>
                <c:pt idx="9">
                  <c:v>111年 第2季</c:v>
                </c:pt>
                <c:pt idx="10">
                  <c:v>111年 第3季</c:v>
                </c:pt>
                <c:pt idx="11">
                  <c:v>111年 第4季</c:v>
                </c:pt>
                <c:pt idx="12">
                  <c:v>112年 第1季</c:v>
                </c:pt>
                <c:pt idx="13">
                  <c:v>112年 第2季</c:v>
                </c:pt>
                <c:pt idx="14">
                  <c:v>112年 第3季</c:v>
                </c:pt>
                <c:pt idx="15">
                  <c:v>112年 第4季</c:v>
                </c:pt>
                <c:pt idx="16">
                  <c:v>113年 第1季</c:v>
                </c:pt>
                <c:pt idx="17">
                  <c:v>113年 第2季</c:v>
                </c:pt>
                <c:pt idx="18">
                  <c:v>113年 第3季</c:v>
                </c:pt>
                <c:pt idx="19">
                  <c:v>113年 第4季</c:v>
                </c:pt>
                <c:pt idx="20">
                  <c:v>114年 第1季</c:v>
                </c:pt>
                <c:pt idx="21">
                  <c:v>114年 第2季</c:v>
                </c:pt>
                <c:pt idx="22">
                  <c:v>114年 第3季</c:v>
                </c:pt>
              </c:strCache>
            </c:strRef>
          </c:cat>
          <c:val>
            <c:numRef>
              <c:f>台灣貿易出口!$C$4:$C$26</c:f>
              <c:numCache>
                <c:formatCode>#,##0.00</c:formatCode>
                <c:ptCount val="23"/>
                <c:pt idx="0">
                  <c:v>29194.49</c:v>
                </c:pt>
                <c:pt idx="1">
                  <c:v>31495.891</c:v>
                </c:pt>
                <c:pt idx="2">
                  <c:v>36512.741999999998</c:v>
                </c:pt>
                <c:pt idx="3">
                  <c:v>38309.127</c:v>
                </c:pt>
                <c:pt idx="4">
                  <c:v>37470.684999999998</c:v>
                </c:pt>
                <c:pt idx="5">
                  <c:v>41281.078999999998</c:v>
                </c:pt>
                <c:pt idx="6">
                  <c:v>46469.025000000001</c:v>
                </c:pt>
                <c:pt idx="7">
                  <c:v>46773.745999999999</c:v>
                </c:pt>
                <c:pt idx="8">
                  <c:v>49874.326000000001</c:v>
                </c:pt>
                <c:pt idx="9">
                  <c:v>51176.127999999997</c:v>
                </c:pt>
                <c:pt idx="10">
                  <c:v>50985.773000000001</c:v>
                </c:pt>
                <c:pt idx="11">
                  <c:v>48097.987000000001</c:v>
                </c:pt>
                <c:pt idx="12">
                  <c:v>41216.607000000004</c:v>
                </c:pt>
                <c:pt idx="13">
                  <c:v>44371.627999999997</c:v>
                </c:pt>
                <c:pt idx="14">
                  <c:v>47011.373</c:v>
                </c:pt>
                <c:pt idx="15">
                  <c:v>46100.345999999998</c:v>
                </c:pt>
                <c:pt idx="16">
                  <c:v>39847.197999999997</c:v>
                </c:pt>
                <c:pt idx="17">
                  <c:v>40917.368000000002</c:v>
                </c:pt>
                <c:pt idx="18">
                  <c:v>45949.186999999998</c:v>
                </c:pt>
                <c:pt idx="19">
                  <c:v>50508.853999999999</c:v>
                </c:pt>
                <c:pt idx="20">
                  <c:v>45955.381999999998</c:v>
                </c:pt>
                <c:pt idx="21">
                  <c:v>52730.436999999998</c:v>
                </c:pt>
                <c:pt idx="22">
                  <c:v>60243.868000000002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0-4433-AF8D-9D4885B9A29E}"/>
            </c:ext>
          </c:extLst>
        </c:ser>
        <c:ser>
          <c:idx val="2"/>
          <c:order val="2"/>
          <c:tx>
            <c:strRef>
              <c:f>台灣貿易出口!$D$1:$D$3</c:f>
              <c:strCache>
                <c:ptCount val="3"/>
                <c:pt idx="0">
                  <c:v>按美元計算(百萬美元)</c:v>
                </c:pt>
                <c:pt idx="1">
                  <c:v>按美元計算(百萬美元)</c:v>
                </c:pt>
                <c:pt idx="2">
                  <c:v>(4)資通與視聽產品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台灣貿易出口!$A$4:$A$26</c:f>
              <c:strCache>
                <c:ptCount val="23"/>
                <c:pt idx="0">
                  <c:v>109年 第1季</c:v>
                </c:pt>
                <c:pt idx="1">
                  <c:v>109年 第2季</c:v>
                </c:pt>
                <c:pt idx="2">
                  <c:v>109年 第3季</c:v>
                </c:pt>
                <c:pt idx="3">
                  <c:v>109年 第4季</c:v>
                </c:pt>
                <c:pt idx="4">
                  <c:v>110年 第1季</c:v>
                </c:pt>
                <c:pt idx="5">
                  <c:v>110年 第2季</c:v>
                </c:pt>
                <c:pt idx="6">
                  <c:v>110年 第3季</c:v>
                </c:pt>
                <c:pt idx="7">
                  <c:v>110年 第4季</c:v>
                </c:pt>
                <c:pt idx="8">
                  <c:v>111年 第1季</c:v>
                </c:pt>
                <c:pt idx="9">
                  <c:v>111年 第2季</c:v>
                </c:pt>
                <c:pt idx="10">
                  <c:v>111年 第3季</c:v>
                </c:pt>
                <c:pt idx="11">
                  <c:v>111年 第4季</c:v>
                </c:pt>
                <c:pt idx="12">
                  <c:v>112年 第1季</c:v>
                </c:pt>
                <c:pt idx="13">
                  <c:v>112年 第2季</c:v>
                </c:pt>
                <c:pt idx="14">
                  <c:v>112年 第3季</c:v>
                </c:pt>
                <c:pt idx="15">
                  <c:v>112年 第4季</c:v>
                </c:pt>
                <c:pt idx="16">
                  <c:v>113年 第1季</c:v>
                </c:pt>
                <c:pt idx="17">
                  <c:v>113年 第2季</c:v>
                </c:pt>
                <c:pt idx="18">
                  <c:v>113年 第3季</c:v>
                </c:pt>
                <c:pt idx="19">
                  <c:v>113年 第4季</c:v>
                </c:pt>
                <c:pt idx="20">
                  <c:v>114年 第1季</c:v>
                </c:pt>
                <c:pt idx="21">
                  <c:v>114年 第2季</c:v>
                </c:pt>
                <c:pt idx="22">
                  <c:v>114年 第3季</c:v>
                </c:pt>
              </c:strCache>
            </c:strRef>
          </c:cat>
          <c:val>
            <c:numRef>
              <c:f>台灣貿易出口!$D$4:$D$26</c:f>
              <c:numCache>
                <c:formatCode>#,##0.00</c:formatCode>
                <c:ptCount val="23"/>
                <c:pt idx="0">
                  <c:v>10172.174000000001</c:v>
                </c:pt>
                <c:pt idx="1">
                  <c:v>11438.767</c:v>
                </c:pt>
                <c:pt idx="2">
                  <c:v>13371.74</c:v>
                </c:pt>
                <c:pt idx="3">
                  <c:v>14162.476000000001</c:v>
                </c:pt>
                <c:pt idx="4">
                  <c:v>13208.21</c:v>
                </c:pt>
                <c:pt idx="5">
                  <c:v>14721.856</c:v>
                </c:pt>
                <c:pt idx="6">
                  <c:v>16008.76</c:v>
                </c:pt>
                <c:pt idx="7">
                  <c:v>17384.201000000001</c:v>
                </c:pt>
                <c:pt idx="8">
                  <c:v>15477.357</c:v>
                </c:pt>
                <c:pt idx="9">
                  <c:v>15729.120999999999</c:v>
                </c:pt>
                <c:pt idx="10">
                  <c:v>16353.352999999999</c:v>
                </c:pt>
                <c:pt idx="11">
                  <c:v>17118.946</c:v>
                </c:pt>
                <c:pt idx="12">
                  <c:v>13625.132</c:v>
                </c:pt>
                <c:pt idx="13">
                  <c:v>16304.038</c:v>
                </c:pt>
                <c:pt idx="14">
                  <c:v>24950.97</c:v>
                </c:pt>
                <c:pt idx="15">
                  <c:v>28475.112000000001</c:v>
                </c:pt>
                <c:pt idx="16">
                  <c:v>30572.527999999998</c:v>
                </c:pt>
                <c:pt idx="17">
                  <c:v>31934.307000000001</c:v>
                </c:pt>
                <c:pt idx="18">
                  <c:v>36251.906000000003</c:v>
                </c:pt>
                <c:pt idx="19">
                  <c:v>33742.392</c:v>
                </c:pt>
                <c:pt idx="20">
                  <c:v>43512.544999999998</c:v>
                </c:pt>
                <c:pt idx="21">
                  <c:v>58397.440999999999</c:v>
                </c:pt>
                <c:pt idx="22">
                  <c:v>66846.683999999994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10-4433-AF8D-9D4885B9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527557760"/>
        <c:axId val="1527551520"/>
      </c:lineChart>
      <c:catAx>
        <c:axId val="152755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7551520"/>
        <c:crosses val="autoZero"/>
        <c:auto val="1"/>
        <c:lblAlgn val="ctr"/>
        <c:lblOffset val="100"/>
        <c:noMultiLvlLbl val="0"/>
      </c:catAx>
      <c:valAx>
        <c:axId val="15275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TW" altLang="en-US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百萬美元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TW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275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220980</xdr:colOff>
      <xdr:row>2</xdr:row>
      <xdr:rowOff>152400</xdr:rowOff>
    </xdr:from>
    <xdr:to>
      <xdr:col>11</xdr:col>
      <xdr:colOff>472440</xdr:colOff>
      <xdr:row>12</xdr:row>
      <xdr:rowOff>160020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611DB5-F37A-C48E-9927-0EDAAA2A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251460</xdr:colOff>
      <xdr:row>2</xdr:row>
      <xdr:rowOff>198120</xdr:rowOff>
    </xdr:from>
    <xdr:to>
      <xdr:col>16</xdr:col>
      <xdr:colOff>251460</xdr:colOff>
      <xdr:row>12</xdr:row>
      <xdr:rowOff>198120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5421E6A-5A52-C55F-2E2A-A58D686C8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464820</xdr:colOff>
      <xdr:row>12</xdr:row>
      <xdr:rowOff>7620</xdr:rowOff>
    </xdr:from>
    <xdr:to>
      <xdr:col>15</xdr:col>
      <xdr:colOff>464820</xdr:colOff>
      <xdr:row>22</xdr:row>
      <xdr:rowOff>7620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C3EF37E-9364-5FAC-19E7-5E730580A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441960</xdr:colOff>
      <xdr:row>2</xdr:row>
      <xdr:rowOff>91440</xdr:rowOff>
    </xdr:from>
    <xdr:to>
      <xdr:col>17</xdr:col>
      <xdr:colOff>441960</xdr:colOff>
      <xdr:row>12</xdr:row>
      <xdr:rowOff>106680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CED7A62-DB45-CF62-551C-1499BE842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251460</xdr:colOff>
      <xdr:row>8</xdr:row>
      <xdr:rowOff>198120</xdr:rowOff>
    </xdr:from>
    <xdr:to>
      <xdr:col>19</xdr:col>
      <xdr:colOff>251460</xdr:colOff>
      <xdr:row>18</xdr:row>
      <xdr:rowOff>198120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2DBC576C-2181-962E-381B-502AC30B9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2</xdr:row>
      <xdr:rowOff>167640</xdr:rowOff>
    </xdr:from>
    <xdr:to>
      <xdr:col>16</xdr:col>
      <xdr:colOff>289560</xdr:colOff>
      <xdr:row>23</xdr:row>
      <xdr:rowOff>190500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B451E1E-1A45-A380-F2C1-26325B262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9982-9CDB-4CAB-A224-A278D6025D87}">
  <dimension ref="A1:I48"/>
  <sheetViews>
    <sheetView tabSelected="1" workbookViewId="0">
      <selection activeCell="G25" sqref="G25"/>
    </sheetView>
  </sheetViews>
  <sheetFormatPr defaultRowHeight="16.2" x14ac:dyDescent="0.3"/>
  <cols>
    <col min="1" max="1" width="18.77734375" customWidth="1"/>
    <col min="7" max="7" width="10.5546875" customWidth="1"/>
    <col min="8" max="8" width="10.88671875" customWidth="1"/>
    <col min="9" max="9" width="10.44140625" customWidth="1"/>
  </cols>
  <sheetData>
    <row r="1" spans="1:9" x14ac:dyDescent="0.3">
      <c r="A1" t="s">
        <v>29</v>
      </c>
    </row>
    <row r="2" spans="1:9" ht="16.8" thickBot="1" x14ac:dyDescent="0.35"/>
    <row r="3" spans="1:9" x14ac:dyDescent="0.3">
      <c r="A3" s="9" t="s">
        <v>30</v>
      </c>
      <c r="B3" s="9"/>
    </row>
    <row r="4" spans="1:9" x14ac:dyDescent="0.3">
      <c r="A4" t="s">
        <v>31</v>
      </c>
      <c r="B4">
        <v>0.98263061316967748</v>
      </c>
    </row>
    <row r="5" spans="1:9" x14ac:dyDescent="0.3">
      <c r="A5" t="s">
        <v>32</v>
      </c>
      <c r="B5">
        <v>0.96556292193821636</v>
      </c>
    </row>
    <row r="6" spans="1:9" x14ac:dyDescent="0.3">
      <c r="A6" t="s">
        <v>33</v>
      </c>
      <c r="B6">
        <v>0.96211921413203805</v>
      </c>
    </row>
    <row r="7" spans="1:9" x14ac:dyDescent="0.3">
      <c r="A7" t="s">
        <v>34</v>
      </c>
      <c r="B7">
        <v>4026.3785099278866</v>
      </c>
    </row>
    <row r="8" spans="1:9" ht="16.8" thickBot="1" x14ac:dyDescent="0.35">
      <c r="A8" s="7" t="s">
        <v>35</v>
      </c>
      <c r="B8" s="7">
        <v>23</v>
      </c>
    </row>
    <row r="10" spans="1:9" ht="16.8" thickBot="1" x14ac:dyDescent="0.35">
      <c r="A10" t="s">
        <v>36</v>
      </c>
    </row>
    <row r="11" spans="1:9" x14ac:dyDescent="0.3">
      <c r="A11" s="8"/>
      <c r="B11" s="8" t="s">
        <v>41</v>
      </c>
      <c r="C11" s="8" t="s">
        <v>42</v>
      </c>
      <c r="D11" s="8" t="s">
        <v>43</v>
      </c>
      <c r="E11" s="8" t="s">
        <v>44</v>
      </c>
      <c r="F11" s="8" t="s">
        <v>45</v>
      </c>
    </row>
    <row r="12" spans="1:9" x14ac:dyDescent="0.3">
      <c r="A12" t="s">
        <v>37</v>
      </c>
      <c r="B12">
        <v>2</v>
      </c>
      <c r="C12">
        <v>9091038139.4643345</v>
      </c>
      <c r="D12">
        <v>4545519069.7321672</v>
      </c>
      <c r="E12">
        <v>280.38468310403516</v>
      </c>
      <c r="F12">
        <v>2.34564859632953E-15</v>
      </c>
    </row>
    <row r="13" spans="1:9" x14ac:dyDescent="0.3">
      <c r="A13" t="s">
        <v>38</v>
      </c>
      <c r="B13">
        <v>20</v>
      </c>
      <c r="C13">
        <v>324234478.10418218</v>
      </c>
      <c r="D13">
        <v>16211723.905209109</v>
      </c>
    </row>
    <row r="14" spans="1:9" ht="16.8" thickBot="1" x14ac:dyDescent="0.35">
      <c r="A14" s="7" t="s">
        <v>39</v>
      </c>
      <c r="B14" s="7">
        <v>22</v>
      </c>
      <c r="C14" s="7">
        <v>9415272617.5685158</v>
      </c>
      <c r="D14" s="7"/>
      <c r="E14" s="7"/>
      <c r="F14" s="7"/>
    </row>
    <row r="15" spans="1:9" ht="16.8" thickBot="1" x14ac:dyDescent="0.35"/>
    <row r="16" spans="1:9" x14ac:dyDescent="0.3">
      <c r="A16" s="8"/>
      <c r="B16" s="8" t="s">
        <v>46</v>
      </c>
      <c r="C16" s="8" t="s">
        <v>34</v>
      </c>
      <c r="D16" s="8" t="s">
        <v>47</v>
      </c>
      <c r="E16" s="8" t="s">
        <v>48</v>
      </c>
      <c r="F16" s="8" t="s">
        <v>49</v>
      </c>
      <c r="G16" s="8" t="s">
        <v>50</v>
      </c>
      <c r="H16" s="8" t="s">
        <v>51</v>
      </c>
      <c r="I16" s="8" t="s">
        <v>52</v>
      </c>
    </row>
    <row r="17" spans="1:9" x14ac:dyDescent="0.3">
      <c r="A17" t="s">
        <v>40</v>
      </c>
      <c r="B17">
        <v>16079.10513117819</v>
      </c>
      <c r="C17">
        <v>5969.5175036665487</v>
      </c>
      <c r="D17">
        <v>2.6935351343391174</v>
      </c>
      <c r="E17">
        <v>1.3974219525804682E-2</v>
      </c>
      <c r="F17">
        <v>3626.9098207159968</v>
      </c>
      <c r="G17">
        <v>28531.300441640386</v>
      </c>
      <c r="H17">
        <v>3626.9098207159968</v>
      </c>
      <c r="I17">
        <v>28531.300441640386</v>
      </c>
    </row>
    <row r="18" spans="1:9" x14ac:dyDescent="0.3">
      <c r="A18" t="s">
        <v>4</v>
      </c>
      <c r="B18">
        <v>1.8822827295677413</v>
      </c>
      <c r="C18">
        <v>0.1537449682194772</v>
      </c>
      <c r="D18">
        <v>12.242889971401901</v>
      </c>
      <c r="E18">
        <v>9.5336977345681993E-11</v>
      </c>
      <c r="F18">
        <v>1.5615763456608598</v>
      </c>
      <c r="G18">
        <v>2.2029891134746227</v>
      </c>
      <c r="H18">
        <v>1.5615763456608598</v>
      </c>
      <c r="I18">
        <v>2.2029891134746227</v>
      </c>
    </row>
    <row r="19" spans="1:9" ht="16.8" thickBot="1" x14ac:dyDescent="0.35">
      <c r="A19" s="7" t="s">
        <v>5</v>
      </c>
      <c r="B19" s="7">
        <v>0.60106472316371995</v>
      </c>
      <c r="C19" s="7">
        <v>7.2158119311863458E-2</v>
      </c>
      <c r="D19" s="7">
        <v>8.3298280068241652</v>
      </c>
      <c r="E19" s="7">
        <v>6.2096900664264464E-8</v>
      </c>
      <c r="F19" s="7">
        <v>0.45054552385572366</v>
      </c>
      <c r="G19" s="7">
        <v>0.75158392247171624</v>
      </c>
      <c r="H19" s="7">
        <v>0.45054552385572366</v>
      </c>
      <c r="I19" s="7">
        <v>0.75158392247171624</v>
      </c>
    </row>
    <row r="23" spans="1:9" x14ac:dyDescent="0.3">
      <c r="A23" t="s">
        <v>53</v>
      </c>
      <c r="E23" t="s">
        <v>56</v>
      </c>
    </row>
    <row r="24" spans="1:9" ht="16.8" thickBot="1" x14ac:dyDescent="0.35"/>
    <row r="25" spans="1:9" x14ac:dyDescent="0.3">
      <c r="A25" s="8" t="s">
        <v>54</v>
      </c>
      <c r="B25" s="8" t="s">
        <v>55</v>
      </c>
      <c r="C25" s="8" t="s">
        <v>38</v>
      </c>
      <c r="E25" s="8" t="s">
        <v>57</v>
      </c>
      <c r="F25" s="8" t="s">
        <v>3</v>
      </c>
    </row>
    <row r="26" spans="1:9" x14ac:dyDescent="0.3">
      <c r="A26">
        <v>1</v>
      </c>
      <c r="B26">
        <v>77145.524405999517</v>
      </c>
      <c r="C26">
        <v>1477.5055940004822</v>
      </c>
      <c r="E26">
        <v>2.1739130434782608</v>
      </c>
      <c r="F26">
        <v>78623.03</v>
      </c>
    </row>
    <row r="27" spans="1:9" x14ac:dyDescent="0.3">
      <c r="A27">
        <v>2</v>
      </c>
      <c r="B27">
        <v>82238.716133015536</v>
      </c>
      <c r="C27">
        <v>-2901.2271330155345</v>
      </c>
      <c r="E27">
        <v>6.5217391304347823</v>
      </c>
      <c r="F27">
        <v>79337.489000000001</v>
      </c>
    </row>
    <row r="28" spans="1:9" x14ac:dyDescent="0.3">
      <c r="A28">
        <v>3</v>
      </c>
      <c r="B28">
        <v>92843.690008258141</v>
      </c>
      <c r="C28">
        <v>-2819.3200082581461</v>
      </c>
      <c r="E28">
        <v>10.869565217391305</v>
      </c>
      <c r="F28">
        <v>90024.37</v>
      </c>
    </row>
    <row r="29" spans="1:9" x14ac:dyDescent="0.3">
      <c r="A29">
        <v>4</v>
      </c>
      <c r="B29">
        <v>96700.277984348286</v>
      </c>
      <c r="C29">
        <v>440.77701565170719</v>
      </c>
      <c r="E29">
        <v>15.217391304347824</v>
      </c>
      <c r="F29">
        <v>97141.054999999993</v>
      </c>
    </row>
    <row r="30" spans="1:9" x14ac:dyDescent="0.3">
      <c r="A30">
        <v>5</v>
      </c>
      <c r="B30">
        <v>94548.517458889488</v>
      </c>
      <c r="C30">
        <v>3379.3365411105187</v>
      </c>
      <c r="E30">
        <v>19.565217391304348</v>
      </c>
      <c r="F30">
        <v>97713.262000000002</v>
      </c>
    </row>
    <row r="31" spans="1:9" x14ac:dyDescent="0.3">
      <c r="A31">
        <v>6</v>
      </c>
      <c r="B31">
        <v>102630.55549189591</v>
      </c>
      <c r="C31">
        <v>6322.1385081040935</v>
      </c>
      <c r="E31">
        <v>23.913043478260871</v>
      </c>
      <c r="F31">
        <v>97927.854000000007</v>
      </c>
    </row>
    <row r="32" spans="1:9" x14ac:dyDescent="0.3">
      <c r="A32">
        <v>7</v>
      </c>
      <c r="B32">
        <v>113169.24924612425</v>
      </c>
      <c r="C32">
        <v>3950.5467538757512</v>
      </c>
      <c r="E32">
        <v>28.260869565217391</v>
      </c>
      <c r="F32">
        <v>104356.656</v>
      </c>
    </row>
    <row r="33" spans="1:6" x14ac:dyDescent="0.3">
      <c r="A33">
        <v>8</v>
      </c>
      <c r="B33">
        <v>114569.54938565388</v>
      </c>
      <c r="C33">
        <v>7801.2976143461128</v>
      </c>
      <c r="E33">
        <v>32.608695652173907</v>
      </c>
      <c r="F33">
        <v>108952.694</v>
      </c>
    </row>
    <row r="34" spans="1:6" x14ac:dyDescent="0.3">
      <c r="A34">
        <v>9</v>
      </c>
      <c r="B34">
        <v>119259.58091032063</v>
      </c>
      <c r="C34">
        <v>1668.7060896793701</v>
      </c>
      <c r="E34">
        <v>36.95652173913043</v>
      </c>
      <c r="F34">
        <v>110289.939</v>
      </c>
    </row>
    <row r="35" spans="1:6" x14ac:dyDescent="0.3">
      <c r="A35">
        <v>10</v>
      </c>
      <c r="B35">
        <v>121861.26679119995</v>
      </c>
      <c r="C35">
        <v>3824.133208800049</v>
      </c>
      <c r="E35">
        <v>41.304347826086953</v>
      </c>
      <c r="F35">
        <v>111758.965</v>
      </c>
    </row>
    <row r="36" spans="1:6" x14ac:dyDescent="0.3">
      <c r="A36">
        <v>11</v>
      </c>
      <c r="B36">
        <v>121878.16869648303</v>
      </c>
      <c r="C36">
        <v>-835.59069648303557</v>
      </c>
      <c r="E36">
        <v>45.652173913043477</v>
      </c>
      <c r="F36">
        <v>114640.405</v>
      </c>
    </row>
    <row r="37" spans="1:6" x14ac:dyDescent="0.3">
      <c r="A37">
        <v>12</v>
      </c>
      <c r="B37">
        <v>116902.7099265966</v>
      </c>
      <c r="C37">
        <v>-5143.7449265965988</v>
      </c>
      <c r="E37">
        <v>49.999999999999993</v>
      </c>
      <c r="F37">
        <v>114883.18399999999</v>
      </c>
    </row>
    <row r="38" spans="1:6" x14ac:dyDescent="0.3">
      <c r="A38">
        <v>13</v>
      </c>
      <c r="B38">
        <v>101849.99885230821</v>
      </c>
      <c r="C38">
        <v>-4136.7368523082114</v>
      </c>
      <c r="E38">
        <v>54.347826086956516</v>
      </c>
      <c r="F38">
        <v>115466.86</v>
      </c>
    </row>
    <row r="39" spans="1:6" x14ac:dyDescent="0.3">
      <c r="A39">
        <v>14</v>
      </c>
      <c r="B39">
        <v>109398.83628530338</v>
      </c>
      <c r="C39">
        <v>-5042.1802853033732</v>
      </c>
      <c r="E39">
        <v>58.695652173913039</v>
      </c>
      <c r="F39">
        <v>117119.796</v>
      </c>
    </row>
    <row r="40" spans="1:6" x14ac:dyDescent="0.3">
      <c r="A40">
        <v>15</v>
      </c>
      <c r="B40">
        <v>119564.9484980617</v>
      </c>
      <c r="C40">
        <v>-4681.7644980617042</v>
      </c>
      <c r="E40">
        <v>63.043478260869556</v>
      </c>
      <c r="F40">
        <v>120928.287</v>
      </c>
    </row>
    <row r="41" spans="1:6" x14ac:dyDescent="0.3">
      <c r="A41">
        <v>16</v>
      </c>
      <c r="B41">
        <v>119968.37554541141</v>
      </c>
      <c r="C41">
        <v>-4501.5155454114138</v>
      </c>
      <c r="E41">
        <v>67.391304347826093</v>
      </c>
      <c r="F41">
        <v>121042.57799999999</v>
      </c>
    </row>
    <row r="42" spans="1:6" x14ac:dyDescent="0.3">
      <c r="A42">
        <v>17</v>
      </c>
      <c r="B42">
        <v>109458.8658269795</v>
      </c>
      <c r="C42">
        <v>831.07317302050069</v>
      </c>
      <c r="E42">
        <v>71.739130434782609</v>
      </c>
      <c r="F42">
        <v>122370.84699999999</v>
      </c>
    </row>
    <row r="43" spans="1:6" x14ac:dyDescent="0.3">
      <c r="A43">
        <v>18</v>
      </c>
      <c r="B43">
        <v>112291.74565332619</v>
      </c>
      <c r="C43">
        <v>2348.6593466738123</v>
      </c>
      <c r="E43">
        <v>76.086956521739125</v>
      </c>
      <c r="F43">
        <v>124092.296</v>
      </c>
    </row>
    <row r="44" spans="1:6" x14ac:dyDescent="0.3">
      <c r="A44">
        <v>19</v>
      </c>
      <c r="B44">
        <v>124358.20810300396</v>
      </c>
      <c r="C44">
        <v>-265.91210300395323</v>
      </c>
      <c r="E44">
        <v>80.434782608695656</v>
      </c>
      <c r="F44">
        <v>125685.4</v>
      </c>
    </row>
    <row r="45" spans="1:6" x14ac:dyDescent="0.3">
      <c r="A45">
        <v>20</v>
      </c>
      <c r="B45">
        <v>131432.41021199845</v>
      </c>
      <c r="C45">
        <v>-5529.8962119984499</v>
      </c>
      <c r="E45">
        <v>84.782608695652172</v>
      </c>
      <c r="F45">
        <v>125902.514</v>
      </c>
    </row>
    <row r="46" spans="1:6" x14ac:dyDescent="0.3">
      <c r="A46">
        <v>21</v>
      </c>
      <c r="B46">
        <v>128733.98281504035</v>
      </c>
      <c r="C46">
        <v>816.88218495965702</v>
      </c>
      <c r="E46">
        <v>89.130434782608702</v>
      </c>
      <c r="F46">
        <v>129550.86500000001</v>
      </c>
    </row>
    <row r="47" spans="1:6" x14ac:dyDescent="0.3">
      <c r="A47">
        <v>22</v>
      </c>
      <c r="B47">
        <v>150433.33772697268</v>
      </c>
      <c r="C47">
        <v>3278.3452730273129</v>
      </c>
      <c r="E47">
        <v>93.478260869565219</v>
      </c>
      <c r="F47">
        <v>153711.68299999999</v>
      </c>
    </row>
    <row r="48" spans="1:6" ht="16.8" thickBot="1" x14ac:dyDescent="0.35">
      <c r="A48" s="7">
        <v>23</v>
      </c>
      <c r="B48" s="7">
        <v>169654.28104280957</v>
      </c>
      <c r="C48" s="7">
        <v>-281.5130428095581</v>
      </c>
      <c r="E48" s="7">
        <v>97.826086956521735</v>
      </c>
      <c r="F48" s="7">
        <v>169372.76800000001</v>
      </c>
    </row>
  </sheetData>
  <sortState xmlns:xlrd2="http://schemas.microsoft.com/office/spreadsheetml/2017/richdata2" ref="F26:F48">
    <sortCondition ref="F26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BFCE-A971-452C-927E-5AABC290F36E}">
  <dimension ref="A1:F5"/>
  <sheetViews>
    <sheetView workbookViewId="0">
      <selection activeCell="E8" sqref="E8"/>
    </sheetView>
  </sheetViews>
  <sheetFormatPr defaultRowHeight="16.2" x14ac:dyDescent="0.3"/>
  <cols>
    <col min="2" max="2" width="13.44140625" customWidth="1"/>
    <col min="3" max="3" width="13.5546875" customWidth="1"/>
    <col min="5" max="5" width="18.77734375" customWidth="1"/>
  </cols>
  <sheetData>
    <row r="1" spans="1:6" x14ac:dyDescent="0.3">
      <c r="A1" s="22" t="s">
        <v>3</v>
      </c>
      <c r="B1" s="22"/>
      <c r="C1" s="22" t="s">
        <v>4</v>
      </c>
      <c r="D1" s="22"/>
      <c r="E1" s="22" t="s">
        <v>5</v>
      </c>
      <c r="F1" s="22"/>
    </row>
    <row r="2" spans="1:6" x14ac:dyDescent="0.3">
      <c r="A2" t="s">
        <v>58</v>
      </c>
      <c r="B2">
        <v>114386.64334782612</v>
      </c>
      <c r="C2" t="s">
        <v>58</v>
      </c>
      <c r="D2">
        <v>44456.228130434785</v>
      </c>
      <c r="E2" t="s">
        <v>58</v>
      </c>
      <c r="F2">
        <v>24337.392000000003</v>
      </c>
    </row>
    <row r="3" spans="1:6" x14ac:dyDescent="0.3">
      <c r="A3" t="s">
        <v>91</v>
      </c>
      <c r="B3">
        <v>114883.18399999999</v>
      </c>
      <c r="C3" t="s">
        <v>91</v>
      </c>
      <c r="D3">
        <v>45955.381999999998</v>
      </c>
      <c r="E3" t="s">
        <v>91</v>
      </c>
      <c r="F3">
        <v>16353.352999999999</v>
      </c>
    </row>
    <row r="4" spans="1:6" x14ac:dyDescent="0.3">
      <c r="A4" t="s">
        <v>59</v>
      </c>
      <c r="B4">
        <v>20687.361773851157</v>
      </c>
      <c r="C4" t="s">
        <v>59</v>
      </c>
      <c r="D4">
        <v>7112.1288709229266</v>
      </c>
      <c r="E4" t="s">
        <v>59</v>
      </c>
      <c r="F4">
        <v>15153.582682872131</v>
      </c>
    </row>
    <row r="5" spans="1:6" x14ac:dyDescent="0.3">
      <c r="A5" t="s">
        <v>60</v>
      </c>
      <c r="B5">
        <v>427966937.16219813</v>
      </c>
      <c r="C5" t="s">
        <v>60</v>
      </c>
      <c r="D5">
        <v>50582377.076615423</v>
      </c>
      <c r="E5" t="s">
        <v>60</v>
      </c>
      <c r="F5">
        <v>229631068.12664214</v>
      </c>
    </row>
  </sheetData>
  <mergeCells count="3">
    <mergeCell ref="A1:B1"/>
    <mergeCell ref="C1:D1"/>
    <mergeCell ref="E1:F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3DC1-1FC0-4E10-97A6-82BD23FEED33}">
  <dimension ref="A1:J4"/>
  <sheetViews>
    <sheetView workbookViewId="0">
      <selection activeCell="I14" sqref="I14"/>
    </sheetView>
  </sheetViews>
  <sheetFormatPr defaultRowHeight="16.2" x14ac:dyDescent="0.3"/>
  <cols>
    <col min="1" max="1" width="19.21875" customWidth="1"/>
    <col min="2" max="2" width="13.5546875" customWidth="1"/>
    <col min="3" max="3" width="14.109375" customWidth="1"/>
    <col min="4" max="4" width="19.109375" customWidth="1"/>
    <col min="7" max="7" width="11.77734375" customWidth="1"/>
    <col min="8" max="8" width="13.44140625" customWidth="1"/>
    <col min="9" max="9" width="13.6640625" customWidth="1"/>
    <col min="10" max="10" width="40.33203125" customWidth="1"/>
  </cols>
  <sheetData>
    <row r="1" spans="1:10" ht="16.8" thickBot="1" x14ac:dyDescent="0.35">
      <c r="A1" s="8"/>
      <c r="B1" s="8" t="s">
        <v>3</v>
      </c>
      <c r="C1" s="8" t="s">
        <v>4</v>
      </c>
      <c r="D1" s="8" t="s">
        <v>5</v>
      </c>
      <c r="G1" s="20" t="s">
        <v>109</v>
      </c>
      <c r="H1" s="20" t="s">
        <v>110</v>
      </c>
      <c r="I1" s="20" t="s">
        <v>111</v>
      </c>
      <c r="J1" s="20" t="s">
        <v>112</v>
      </c>
    </row>
    <row r="2" spans="1:10" ht="45.6" customHeight="1" thickBot="1" x14ac:dyDescent="0.35">
      <c r="A2" t="s">
        <v>3</v>
      </c>
      <c r="B2">
        <v>1</v>
      </c>
      <c r="G2" s="20" t="s">
        <v>113</v>
      </c>
      <c r="H2" s="20">
        <v>0.91979999999999995</v>
      </c>
      <c r="I2" s="20" t="s">
        <v>114</v>
      </c>
      <c r="J2" s="20" t="s">
        <v>115</v>
      </c>
    </row>
    <row r="3" spans="1:10" ht="55.8" customHeight="1" thickBot="1" x14ac:dyDescent="0.35">
      <c r="A3" t="s">
        <v>4</v>
      </c>
      <c r="B3">
        <v>0.91983167340674532</v>
      </c>
      <c r="C3">
        <v>1</v>
      </c>
      <c r="G3" s="20" t="s">
        <v>116</v>
      </c>
      <c r="H3" s="20">
        <v>0.84109999999999996</v>
      </c>
      <c r="I3" s="20" t="s">
        <v>117</v>
      </c>
      <c r="J3" s="20" t="s">
        <v>118</v>
      </c>
    </row>
    <row r="4" spans="1:10" ht="70.8" customHeight="1" thickBot="1" x14ac:dyDescent="0.35">
      <c r="A4" s="7" t="s">
        <v>5</v>
      </c>
      <c r="B4" s="7">
        <v>0.84111656333051443</v>
      </c>
      <c r="C4" s="7">
        <v>0.61941999907630318</v>
      </c>
      <c r="D4" s="7">
        <v>1</v>
      </c>
      <c r="G4" s="20" t="s">
        <v>119</v>
      </c>
      <c r="H4" s="20">
        <v>0.61939999999999995</v>
      </c>
      <c r="I4" s="20" t="s">
        <v>120</v>
      </c>
      <c r="J4" s="21" t="s">
        <v>121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AC41-6274-4C19-BD9F-78D1E28AD8EA}">
  <dimension ref="A1:G26"/>
  <sheetViews>
    <sheetView workbookViewId="0">
      <selection activeCell="S19" sqref="S19"/>
    </sheetView>
  </sheetViews>
  <sheetFormatPr defaultRowHeight="16.2" x14ac:dyDescent="0.3"/>
  <cols>
    <col min="6" max="7" width="10.6640625" bestFit="1" customWidth="1"/>
    <col min="8" max="8" width="10.5546875" bestFit="1" customWidth="1"/>
    <col min="9" max="9" width="10.6640625" bestFit="1" customWidth="1"/>
  </cols>
  <sheetData>
    <row r="1" spans="1:4" x14ac:dyDescent="0.3">
      <c r="A1" s="1" t="s">
        <v>0</v>
      </c>
      <c r="B1" s="23" t="s">
        <v>1</v>
      </c>
      <c r="C1" s="24"/>
      <c r="D1" s="25"/>
    </row>
    <row r="2" spans="1:4" x14ac:dyDescent="0.3">
      <c r="A2" s="1" t="s">
        <v>0</v>
      </c>
      <c r="B2" s="23" t="s">
        <v>1</v>
      </c>
      <c r="C2" s="24"/>
      <c r="D2" s="25"/>
    </row>
    <row r="3" spans="1:4" ht="20.399999999999999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3">
      <c r="A4" s="2" t="s">
        <v>6</v>
      </c>
      <c r="B4" s="3">
        <v>78623.03</v>
      </c>
      <c r="C4" s="3">
        <v>29194.49</v>
      </c>
      <c r="D4" s="3">
        <v>10172.174000000001</v>
      </c>
    </row>
    <row r="5" spans="1:4" x14ac:dyDescent="0.3">
      <c r="A5" s="2" t="s">
        <v>7</v>
      </c>
      <c r="B5" s="3">
        <v>79337.489000000001</v>
      </c>
      <c r="C5" s="3">
        <v>31495.891</v>
      </c>
      <c r="D5" s="3">
        <v>11438.767</v>
      </c>
    </row>
    <row r="6" spans="1:4" x14ac:dyDescent="0.3">
      <c r="A6" s="2" t="s">
        <v>8</v>
      </c>
      <c r="B6" s="3">
        <v>90024.37</v>
      </c>
      <c r="C6" s="3">
        <v>36512.741999999998</v>
      </c>
      <c r="D6" s="3">
        <v>13371.74</v>
      </c>
    </row>
    <row r="7" spans="1:4" x14ac:dyDescent="0.3">
      <c r="A7" s="2" t="s">
        <v>9</v>
      </c>
      <c r="B7" s="3">
        <v>97141.054999999993</v>
      </c>
      <c r="C7" s="3">
        <v>38309.127</v>
      </c>
      <c r="D7" s="3">
        <v>14162.476000000001</v>
      </c>
    </row>
    <row r="8" spans="1:4" x14ac:dyDescent="0.3">
      <c r="A8" s="2" t="s">
        <v>10</v>
      </c>
      <c r="B8" s="3">
        <v>97927.854000000007</v>
      </c>
      <c r="C8" s="3">
        <v>37470.684999999998</v>
      </c>
      <c r="D8" s="3">
        <v>13208.21</v>
      </c>
    </row>
    <row r="9" spans="1:4" x14ac:dyDescent="0.3">
      <c r="A9" s="2" t="s">
        <v>11</v>
      </c>
      <c r="B9" s="3">
        <v>108952.694</v>
      </c>
      <c r="C9" s="3">
        <v>41281.078999999998</v>
      </c>
      <c r="D9" s="3">
        <v>14721.856</v>
      </c>
    </row>
    <row r="10" spans="1:4" x14ac:dyDescent="0.3">
      <c r="A10" s="2" t="s">
        <v>12</v>
      </c>
      <c r="B10" s="3">
        <v>117119.796</v>
      </c>
      <c r="C10" s="3">
        <v>46469.025000000001</v>
      </c>
      <c r="D10" s="3">
        <v>16008.76</v>
      </c>
    </row>
    <row r="11" spans="1:4" x14ac:dyDescent="0.3">
      <c r="A11" s="2" t="s">
        <v>13</v>
      </c>
      <c r="B11" s="3">
        <v>122370.84699999999</v>
      </c>
      <c r="C11" s="3">
        <v>46773.745999999999</v>
      </c>
      <c r="D11" s="3">
        <v>17384.201000000001</v>
      </c>
    </row>
    <row r="12" spans="1:4" x14ac:dyDescent="0.3">
      <c r="A12" s="2" t="s">
        <v>14</v>
      </c>
      <c r="B12" s="3">
        <v>120928.287</v>
      </c>
      <c r="C12" s="3">
        <v>49874.326000000001</v>
      </c>
      <c r="D12" s="3">
        <v>15477.357</v>
      </c>
    </row>
    <row r="13" spans="1:4" x14ac:dyDescent="0.3">
      <c r="A13" s="2" t="s">
        <v>15</v>
      </c>
      <c r="B13" s="3">
        <v>125685.4</v>
      </c>
      <c r="C13" s="3">
        <v>51176.127999999997</v>
      </c>
      <c r="D13" s="3">
        <v>15729.120999999999</v>
      </c>
    </row>
    <row r="14" spans="1:4" x14ac:dyDescent="0.3">
      <c r="A14" s="2" t="s">
        <v>16</v>
      </c>
      <c r="B14" s="3">
        <v>121042.57799999999</v>
      </c>
      <c r="C14" s="3">
        <v>50985.773000000001</v>
      </c>
      <c r="D14" s="3">
        <v>16353.352999999999</v>
      </c>
    </row>
    <row r="15" spans="1:4" x14ac:dyDescent="0.3">
      <c r="A15" s="2" t="s">
        <v>17</v>
      </c>
      <c r="B15" s="3">
        <v>111758.965</v>
      </c>
      <c r="C15" s="3">
        <v>48097.987000000001</v>
      </c>
      <c r="D15" s="3">
        <v>17118.946</v>
      </c>
    </row>
    <row r="16" spans="1:4" x14ac:dyDescent="0.3">
      <c r="A16" s="2" t="s">
        <v>18</v>
      </c>
      <c r="B16" s="3">
        <v>97713.262000000002</v>
      </c>
      <c r="C16" s="3">
        <v>41216.607000000004</v>
      </c>
      <c r="D16" s="3">
        <v>13625.132</v>
      </c>
    </row>
    <row r="17" spans="1:7" x14ac:dyDescent="0.3">
      <c r="A17" s="2" t="s">
        <v>19</v>
      </c>
      <c r="B17" s="3">
        <v>104356.656</v>
      </c>
      <c r="C17" s="3">
        <v>44371.627999999997</v>
      </c>
      <c r="D17" s="3">
        <v>16304.038</v>
      </c>
    </row>
    <row r="18" spans="1:7" x14ac:dyDescent="0.3">
      <c r="A18" s="2" t="s">
        <v>20</v>
      </c>
      <c r="B18" s="3">
        <v>114883.18399999999</v>
      </c>
      <c r="C18" s="3">
        <v>47011.373</v>
      </c>
      <c r="D18" s="3">
        <v>24950.97</v>
      </c>
    </row>
    <row r="19" spans="1:7" x14ac:dyDescent="0.3">
      <c r="A19" s="2" t="s">
        <v>21</v>
      </c>
      <c r="B19" s="3">
        <v>115466.86</v>
      </c>
      <c r="C19" s="3">
        <v>46100.345999999998</v>
      </c>
      <c r="D19" s="3">
        <v>28475.112000000001</v>
      </c>
    </row>
    <row r="20" spans="1:7" x14ac:dyDescent="0.3">
      <c r="A20" s="2" t="s">
        <v>22</v>
      </c>
      <c r="B20" s="3">
        <v>110289.939</v>
      </c>
      <c r="C20" s="3">
        <v>39847.197999999997</v>
      </c>
      <c r="D20" s="3">
        <v>30572.527999999998</v>
      </c>
    </row>
    <row r="21" spans="1:7" x14ac:dyDescent="0.3">
      <c r="A21" s="2" t="s">
        <v>23</v>
      </c>
      <c r="B21" s="3">
        <v>114640.405</v>
      </c>
      <c r="C21" s="3">
        <v>40917.368000000002</v>
      </c>
      <c r="D21" s="3">
        <v>31934.307000000001</v>
      </c>
    </row>
    <row r="22" spans="1:7" x14ac:dyDescent="0.3">
      <c r="A22" s="2" t="s">
        <v>24</v>
      </c>
      <c r="B22" s="3">
        <v>124092.296</v>
      </c>
      <c r="C22" s="3">
        <v>45949.186999999998</v>
      </c>
      <c r="D22" s="3">
        <v>36251.906000000003</v>
      </c>
    </row>
    <row r="23" spans="1:7" x14ac:dyDescent="0.3">
      <c r="A23" s="2" t="s">
        <v>25</v>
      </c>
      <c r="B23" s="3">
        <v>125902.514</v>
      </c>
      <c r="C23" s="3">
        <v>50508.853999999999</v>
      </c>
      <c r="D23" s="3">
        <v>33742.392</v>
      </c>
    </row>
    <row r="24" spans="1:7" x14ac:dyDescent="0.3">
      <c r="A24" s="2" t="s">
        <v>26</v>
      </c>
      <c r="B24" s="3">
        <v>129550.86500000001</v>
      </c>
      <c r="C24" s="3">
        <v>45955.381999999998</v>
      </c>
      <c r="D24" s="3">
        <v>43512.544999999998</v>
      </c>
    </row>
    <row r="25" spans="1:7" x14ac:dyDescent="0.3">
      <c r="A25" s="2" t="s">
        <v>27</v>
      </c>
      <c r="B25" s="3">
        <v>153711.68299999999</v>
      </c>
      <c r="C25" s="3">
        <v>52730.436999999998</v>
      </c>
      <c r="D25" s="3">
        <v>58397.440999999999</v>
      </c>
      <c r="F25" s="6"/>
      <c r="G25" s="6"/>
    </row>
    <row r="26" spans="1:7" x14ac:dyDescent="0.3">
      <c r="A26" s="4" t="s">
        <v>28</v>
      </c>
      <c r="B26" s="5">
        <v>169372.76800000001</v>
      </c>
      <c r="C26" s="5">
        <v>60243.868000000002</v>
      </c>
      <c r="D26" s="5">
        <v>66846.683999999994</v>
      </c>
    </row>
  </sheetData>
  <mergeCells count="2">
    <mergeCell ref="B1:D1"/>
    <mergeCell ref="B2:D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CD2C-23BE-4303-8CB6-0D4794D4F5DA}">
  <dimension ref="A1:J20"/>
  <sheetViews>
    <sheetView workbookViewId="0">
      <selection activeCell="F20" sqref="F20"/>
    </sheetView>
  </sheetViews>
  <sheetFormatPr defaultRowHeight="16.2" x14ac:dyDescent="0.3"/>
  <cols>
    <col min="1" max="1" width="16.6640625" customWidth="1"/>
    <col min="2" max="2" width="14.6640625" customWidth="1"/>
    <col min="3" max="3" width="11.44140625" customWidth="1"/>
    <col min="4" max="4" width="27.21875" customWidth="1"/>
    <col min="5" max="5" width="12.6640625" customWidth="1"/>
    <col min="7" max="7" width="10.33203125" customWidth="1"/>
    <col min="8" max="8" width="0.109375" customWidth="1"/>
    <col min="9" max="9" width="3.6640625" hidden="1" customWidth="1"/>
    <col min="10" max="10" width="18.109375" customWidth="1"/>
  </cols>
  <sheetData>
    <row r="1" spans="1:10" ht="31.8" customHeight="1" x14ac:dyDescent="0.3">
      <c r="A1" s="13" t="s">
        <v>92</v>
      </c>
      <c r="B1" s="10" t="s">
        <v>61</v>
      </c>
      <c r="C1" s="10" t="s">
        <v>62</v>
      </c>
      <c r="D1" s="10" t="s">
        <v>63</v>
      </c>
      <c r="E1" s="10" t="s">
        <v>64</v>
      </c>
      <c r="F1" s="33" t="s">
        <v>65</v>
      </c>
      <c r="G1" s="33"/>
      <c r="H1" s="33"/>
      <c r="I1" s="33"/>
      <c r="J1" s="33"/>
    </row>
    <row r="2" spans="1:10" ht="48" customHeight="1" x14ac:dyDescent="0.3">
      <c r="A2" s="10" t="s">
        <v>66</v>
      </c>
      <c r="B2" s="11">
        <v>3452.8</v>
      </c>
      <c r="C2" s="12">
        <v>4.9000000000000002E-2</v>
      </c>
      <c r="D2" s="10" t="s">
        <v>67</v>
      </c>
      <c r="E2" s="10" t="s">
        <v>68</v>
      </c>
      <c r="F2" s="34" t="s">
        <v>93</v>
      </c>
      <c r="G2" s="33"/>
      <c r="H2" s="33"/>
      <c r="I2" s="33"/>
      <c r="J2" s="33"/>
    </row>
    <row r="3" spans="1:10" ht="28.8" customHeight="1" x14ac:dyDescent="0.3">
      <c r="A3" s="10" t="s">
        <v>69</v>
      </c>
      <c r="B3" s="11">
        <v>4464.5</v>
      </c>
      <c r="C3" s="12">
        <v>0.29399999999999998</v>
      </c>
      <c r="D3" s="10" t="s">
        <v>70</v>
      </c>
      <c r="E3" s="10" t="s">
        <v>71</v>
      </c>
      <c r="F3" s="33" t="s">
        <v>72</v>
      </c>
      <c r="G3" s="33"/>
      <c r="H3" s="33"/>
      <c r="I3" s="33"/>
      <c r="J3" s="33"/>
    </row>
    <row r="4" spans="1:10" ht="33.6" customHeight="1" x14ac:dyDescent="0.3">
      <c r="A4" s="10" t="s">
        <v>73</v>
      </c>
      <c r="B4" s="11">
        <v>4794.3999999999996</v>
      </c>
      <c r="C4" s="12">
        <v>7.3999999999999996E-2</v>
      </c>
      <c r="D4" s="10" t="s">
        <v>74</v>
      </c>
      <c r="E4" s="10" t="s">
        <v>75</v>
      </c>
      <c r="F4" s="33" t="s">
        <v>87</v>
      </c>
      <c r="G4" s="33"/>
      <c r="H4" s="33"/>
      <c r="I4" s="33"/>
      <c r="J4" s="33"/>
    </row>
    <row r="5" spans="1:10" ht="32.4" customHeight="1" x14ac:dyDescent="0.3">
      <c r="A5" s="10" t="s">
        <v>76</v>
      </c>
      <c r="B5" s="11">
        <v>4324.8</v>
      </c>
      <c r="C5" s="12">
        <v>-9.8000000000000004E-2</v>
      </c>
      <c r="D5" s="10" t="s">
        <v>77</v>
      </c>
      <c r="E5" s="10" t="s">
        <v>88</v>
      </c>
      <c r="F5" s="33" t="s">
        <v>78</v>
      </c>
      <c r="G5" s="33"/>
      <c r="H5" s="33"/>
      <c r="I5" s="33"/>
      <c r="J5" s="33"/>
    </row>
    <row r="6" spans="1:10" ht="33" customHeight="1" x14ac:dyDescent="0.3">
      <c r="A6" s="10" t="s">
        <v>79</v>
      </c>
      <c r="B6" s="11">
        <v>4750.7</v>
      </c>
      <c r="C6" s="12">
        <v>9.9000000000000005E-2</v>
      </c>
      <c r="D6" s="10" t="s">
        <v>89</v>
      </c>
      <c r="E6" s="10" t="s">
        <v>90</v>
      </c>
      <c r="F6" s="33" t="s">
        <v>80</v>
      </c>
      <c r="G6" s="33"/>
      <c r="H6" s="33"/>
      <c r="I6" s="33"/>
      <c r="J6" s="33"/>
    </row>
    <row r="7" spans="1:10" ht="35.4" customHeight="1" x14ac:dyDescent="0.3">
      <c r="A7" s="10" t="s">
        <v>81</v>
      </c>
      <c r="B7" s="10" t="s">
        <v>82</v>
      </c>
      <c r="C7" s="10" t="s">
        <v>83</v>
      </c>
      <c r="D7" s="10" t="s">
        <v>84</v>
      </c>
      <c r="E7" s="10" t="s">
        <v>85</v>
      </c>
      <c r="F7" s="33" t="s">
        <v>86</v>
      </c>
      <c r="G7" s="33"/>
      <c r="H7" s="33"/>
      <c r="I7" s="33"/>
      <c r="J7" s="33"/>
    </row>
    <row r="10" spans="1:10" ht="16.8" thickBot="1" x14ac:dyDescent="0.35"/>
    <row r="11" spans="1:10" ht="16.8" thickBot="1" x14ac:dyDescent="0.35">
      <c r="A11" s="14" t="s">
        <v>107</v>
      </c>
      <c r="B11" s="14" t="s">
        <v>106</v>
      </c>
      <c r="C11" s="15" t="s">
        <v>105</v>
      </c>
      <c r="D11" s="15" t="s">
        <v>94</v>
      </c>
    </row>
    <row r="12" spans="1:10" x14ac:dyDescent="0.3">
      <c r="A12" s="26" t="s">
        <v>108</v>
      </c>
      <c r="B12" s="29">
        <v>16079.11</v>
      </c>
      <c r="C12" s="16">
        <v>1.4E-2</v>
      </c>
      <c r="D12" s="16" t="s">
        <v>96</v>
      </c>
    </row>
    <row r="13" spans="1:10" x14ac:dyDescent="0.3">
      <c r="A13" s="27"/>
      <c r="B13" s="30"/>
      <c r="C13" s="17"/>
      <c r="D13" s="17"/>
    </row>
    <row r="14" spans="1:10" ht="75.599999999999994" thickBot="1" x14ac:dyDescent="0.35">
      <c r="A14" s="28"/>
      <c r="B14" s="31"/>
      <c r="C14" s="18" t="s">
        <v>95</v>
      </c>
      <c r="D14" s="18" t="s">
        <v>97</v>
      </c>
    </row>
    <row r="15" spans="1:10" ht="31.2" x14ac:dyDescent="0.3">
      <c r="A15" s="32" t="s">
        <v>98</v>
      </c>
      <c r="B15" s="32">
        <v>1.88</v>
      </c>
      <c r="C15" s="19">
        <v>9.5299999999999997E-11</v>
      </c>
      <c r="D15" s="16" t="s">
        <v>100</v>
      </c>
    </row>
    <row r="16" spans="1:10" x14ac:dyDescent="0.3">
      <c r="A16" s="27"/>
      <c r="B16" s="27"/>
      <c r="C16" s="17"/>
      <c r="D16" s="17"/>
    </row>
    <row r="17" spans="1:4" ht="90.6" thickBot="1" x14ac:dyDescent="0.35">
      <c r="A17" s="28"/>
      <c r="B17" s="28"/>
      <c r="C17" s="18" t="s">
        <v>99</v>
      </c>
      <c r="D17" s="18" t="s">
        <v>101</v>
      </c>
    </row>
    <row r="18" spans="1:4" x14ac:dyDescent="0.3">
      <c r="A18" s="32" t="s">
        <v>102</v>
      </c>
      <c r="B18" s="32">
        <v>0.6</v>
      </c>
      <c r="C18" s="19">
        <v>6.2099999999999994E-8</v>
      </c>
      <c r="D18" s="16" t="s">
        <v>103</v>
      </c>
    </row>
    <row r="19" spans="1:4" x14ac:dyDescent="0.3">
      <c r="A19" s="27"/>
      <c r="B19" s="27"/>
      <c r="C19" s="17"/>
      <c r="D19" s="17"/>
    </row>
    <row r="20" spans="1:4" ht="90.6" thickBot="1" x14ac:dyDescent="0.35">
      <c r="A20" s="28"/>
      <c r="B20" s="28"/>
      <c r="C20" s="18" t="s">
        <v>99</v>
      </c>
      <c r="D20" s="18" t="s">
        <v>104</v>
      </c>
    </row>
  </sheetData>
  <mergeCells count="13">
    <mergeCell ref="F6:J6"/>
    <mergeCell ref="F7:J7"/>
    <mergeCell ref="F3:J3"/>
    <mergeCell ref="F2:J2"/>
    <mergeCell ref="F1:J1"/>
    <mergeCell ref="F4:J4"/>
    <mergeCell ref="F5:J5"/>
    <mergeCell ref="A12:A14"/>
    <mergeCell ref="B12:B14"/>
    <mergeCell ref="A15:A17"/>
    <mergeCell ref="B15:B17"/>
    <mergeCell ref="A18:A20"/>
    <mergeCell ref="B18:B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迴歸</vt:lpstr>
      <vt:lpstr>敘述</vt:lpstr>
      <vt:lpstr>相關性分析</vt:lpstr>
      <vt:lpstr>台灣貿易出口</vt:lpstr>
      <vt:lpstr>貿易說明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柏辰 郭</dc:creator>
  <cp:lastModifiedBy>柏辰 郭</cp:lastModifiedBy>
  <dcterms:created xsi:type="dcterms:W3CDTF">2026-01-02T08:19:20Z</dcterms:created>
  <dcterms:modified xsi:type="dcterms:W3CDTF">2026-01-03T08:25:50Z</dcterms:modified>
</cp:coreProperties>
</file>